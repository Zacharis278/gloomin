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3" codeName="{54D0D2CB-4C12-4D6E-6EDF-ACB5E8E520A3}"/>
  <workbookPr codeName="ThisWorkbook" hidePivotFieldList="1" defaultThemeVersion="166925"/>
  <mc:AlternateContent xmlns:mc="http://schemas.openxmlformats.org/markup-compatibility/2006">
    <mc:Choice Requires="x15">
      <x15ac:absPath xmlns:x15ac="http://schemas.microsoft.com/office/spreadsheetml/2010/11/ac" url="/Users/zhancock/Downloads/"/>
    </mc:Choice>
  </mc:AlternateContent>
  <xr:revisionPtr revIDLastSave="0" documentId="13_ncr:1_{4B89934A-5506-1942-BCB7-359EDEDD169C}" xr6:coauthVersionLast="45" xr6:coauthVersionMax="45" xr10:uidLastSave="{00000000-0000-0000-0000-000000000000}"/>
  <bookViews>
    <workbookView xWindow="47520" yWindow="1540" windowWidth="38280" windowHeight="25640" xr2:uid="{0F097616-229B-4524-88D0-15D10E445788}"/>
  </bookViews>
  <sheets>
    <sheet name="Scenario_Detail" sheetId="1" r:id="rId1"/>
    <sheet name="Percentage_Chart" sheetId="5" r:id="rId2"/>
  </sheets>
  <definedNames>
    <definedName name="_xlnm.Print_Titles" localSheetId="0">Scenario_Detail!$1:$4</definedName>
    <definedName name="Slicer_Completion">#N/A</definedName>
    <definedName name="Slicer_Seen">#N/A</definedName>
  </definedNames>
  <calcPr calcId="191029"/>
  <pivotCaches>
    <pivotCache cacheId="3" r:id="rId3"/>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39" i="1" l="1"/>
  <c r="D26" i="1"/>
  <c r="D8" i="1"/>
  <c r="D14" i="1"/>
  <c r="D13" i="1"/>
  <c r="D17" i="1"/>
  <c r="D16" i="1"/>
  <c r="D32" i="1"/>
  <c r="D47" i="1"/>
  <c r="D15" i="1"/>
  <c r="D40" i="1"/>
  <c r="D41" i="1"/>
  <c r="C38" i="1"/>
  <c r="D55" i="1"/>
  <c r="C54" i="1"/>
  <c r="C18" i="1" l="1"/>
  <c r="C11" i="1"/>
  <c r="C7" i="1"/>
  <c r="C6" i="1"/>
  <c r="C20" i="1"/>
  <c r="C25" i="1"/>
  <c r="C100" i="1"/>
  <c r="C92" i="1"/>
  <c r="C67" i="1"/>
  <c r="C65" i="1"/>
  <c r="C63" i="1"/>
  <c r="C61" i="1"/>
  <c r="C59" i="1"/>
  <c r="C58" i="1"/>
  <c r="C56" i="1"/>
  <c r="C55" i="1"/>
  <c r="C53" i="1"/>
  <c r="C52" i="1"/>
  <c r="C51" i="1"/>
  <c r="C50" i="1"/>
  <c r="C49" i="1"/>
  <c r="C48" i="1"/>
  <c r="C46" i="1"/>
  <c r="C47" i="1"/>
  <c r="C45" i="1"/>
  <c r="C44" i="1"/>
  <c r="C43" i="1"/>
  <c r="C42" i="1"/>
  <c r="C41" i="1"/>
  <c r="C40" i="1"/>
  <c r="C36" i="1"/>
  <c r="C39" i="1"/>
  <c r="C37" i="1"/>
  <c r="C35" i="1"/>
  <c r="C34" i="1"/>
  <c r="C33" i="1"/>
  <c r="C32" i="1"/>
  <c r="C30" i="1"/>
  <c r="C29" i="1"/>
  <c r="C31" i="1"/>
  <c r="C28" i="1"/>
  <c r="C27" i="1"/>
  <c r="C26" i="1"/>
  <c r="C24" i="1"/>
  <c r="C23" i="1"/>
  <c r="C21" i="1"/>
  <c r="C19" i="1"/>
  <c r="C17" i="1"/>
  <c r="C16" i="1"/>
  <c r="C15" i="1"/>
  <c r="C14" i="1"/>
  <c r="C13" i="1"/>
  <c r="C12" i="1"/>
  <c r="C10" i="1"/>
  <c r="C9" i="1"/>
  <c r="C8" i="1"/>
</calcChain>
</file>

<file path=xl/sharedStrings.xml><?xml version="1.0" encoding="utf-8"?>
<sst xmlns="http://schemas.openxmlformats.org/spreadsheetml/2006/main" count="543" uniqueCount="217">
  <si>
    <t>Scenario</t>
  </si>
  <si>
    <t>Event (City/Road)</t>
  </si>
  <si>
    <t>R44</t>
  </si>
  <si>
    <t>R24</t>
  </si>
  <si>
    <t>C08</t>
  </si>
  <si>
    <t>C17</t>
  </si>
  <si>
    <t>Unlocked Scenario</t>
  </si>
  <si>
    <t>Unlocks</t>
  </si>
  <si>
    <t>-</t>
  </si>
  <si>
    <t>Achievement (Global/Party)</t>
  </si>
  <si>
    <t>P "First Steps"</t>
  </si>
  <si>
    <t>Start</t>
  </si>
  <si>
    <t>G "City Rule: Militaristic"</t>
  </si>
  <si>
    <t>Y</t>
  </si>
  <si>
    <t>Unlocked From:</t>
  </si>
  <si>
    <t>3, 4</t>
  </si>
  <si>
    <t>8, 9</t>
  </si>
  <si>
    <t>P "Jekserah's Plans"</t>
  </si>
  <si>
    <t>5, 6</t>
  </si>
  <si>
    <t>10, 14, 19</t>
  </si>
  <si>
    <t>3, 6</t>
  </si>
  <si>
    <t>7, 13, 14</t>
  </si>
  <si>
    <t>G "The Merchant Flees"</t>
  </si>
  <si>
    <t>21, 22</t>
  </si>
  <si>
    <t>P "A Demon's Errand"</t>
  </si>
  <si>
    <t>7, 13</t>
  </si>
  <si>
    <t>G "The Power of Enhancement"</t>
  </si>
  <si>
    <t>P "Stonebreaker's Censer"</t>
  </si>
  <si>
    <t>16, 18, 28</t>
  </si>
  <si>
    <t>G "The Rift Neutralized"</t>
  </si>
  <si>
    <t>P "An Invitation"</t>
  </si>
  <si>
    <t>"Seeker of Xorn" personal quest</t>
  </si>
  <si>
    <t>Retire "Seeker of Xorn"; Unlocked Plagueherald</t>
  </si>
  <si>
    <t>"The Fall of Man" personal quest</t>
  </si>
  <si>
    <t>Retire "The Fall of Man"; Unlocked Nightshroud</t>
  </si>
  <si>
    <t>P "Jekserah's Plans", P "Dark Bounty"</t>
  </si>
  <si>
    <t>24, 25</t>
  </si>
  <si>
    <t>Treasure Looted</t>
  </si>
  <si>
    <t>Town Records</t>
  </si>
  <si>
    <t>14, 23, 26, 43</t>
  </si>
  <si>
    <t>5, 8, 18</t>
  </si>
  <si>
    <t>G "Water Breathing"</t>
  </si>
  <si>
    <t>Random Scenario</t>
  </si>
  <si>
    <t>Complete?</t>
  </si>
  <si>
    <t>Meet Requirements?</t>
  </si>
  <si>
    <t>P "Following Clues"</t>
  </si>
  <si>
    <t>10, 26</t>
  </si>
  <si>
    <t>31, 35, 36</t>
  </si>
  <si>
    <t>G "Artifact: Recovered"</t>
  </si>
  <si>
    <t>G "Edge of Darkness"</t>
  </si>
  <si>
    <t>G "Ancient Tech" / P "Through the Ruins"</t>
  </si>
  <si>
    <t>37, 38, 39, 43</t>
  </si>
  <si>
    <t>G "Artifact: Cleansed"</t>
  </si>
  <si>
    <t>18, 31</t>
  </si>
  <si>
    <t>C34</t>
  </si>
  <si>
    <t>15, 46</t>
  </si>
  <si>
    <t>P "Across the Divide"</t>
  </si>
  <si>
    <t>G "End of Corruption"</t>
  </si>
  <si>
    <t>30, 32</t>
  </si>
  <si>
    <t>P "The Voice's Command"</t>
  </si>
  <si>
    <t>C31</t>
  </si>
  <si>
    <t>P "Through the Trench"</t>
  </si>
  <si>
    <t>C76</t>
  </si>
  <si>
    <t>"Vengeance" personal quest</t>
  </si>
  <si>
    <t>Retire "Vengenace"; Opened Envelope "X"</t>
  </si>
  <si>
    <t>"The Scepter and the Voice"</t>
  </si>
  <si>
    <t>44, 48</t>
  </si>
  <si>
    <t>P "Redthorn's Aid"</t>
  </si>
  <si>
    <t>C72</t>
  </si>
  <si>
    <t>G "End of Gloom"</t>
  </si>
  <si>
    <t>Name</t>
  </si>
  <si>
    <t>Black Barrow</t>
  </si>
  <si>
    <t>Barrow Lair</t>
  </si>
  <si>
    <t>Inox Encampment</t>
  </si>
  <si>
    <t>Crypt of the Damned</t>
  </si>
  <si>
    <t>Ruinous Crypt</t>
  </si>
  <si>
    <t>Gloomhaven Warehouse</t>
  </si>
  <si>
    <t>Decaying Crypt</t>
  </si>
  <si>
    <t>Diamond Mine</t>
  </si>
  <si>
    <t>Plane of Elemental Power</t>
  </si>
  <si>
    <t>Gloomhaven Square A</t>
  </si>
  <si>
    <t>Gloomhaven Square B</t>
  </si>
  <si>
    <t>Temple of the Seer</t>
  </si>
  <si>
    <t>Frozen Hollow</t>
  </si>
  <si>
    <t>Shrine of Strength</t>
  </si>
  <si>
    <t>Mountain Pass</t>
  </si>
  <si>
    <t>Lost Island</t>
  </si>
  <si>
    <t>Abandoned Sewers</t>
  </si>
  <si>
    <t>Forgotten Crypt</t>
  </si>
  <si>
    <t>Necromancer's Sanctum</t>
  </si>
  <si>
    <t>Infernal Throne</t>
  </si>
  <si>
    <t>Temple of the Elements</t>
  </si>
  <si>
    <t>Deep Ruins</t>
  </si>
  <si>
    <t>Echo Chamber</t>
  </si>
  <si>
    <t>Icecrag Ascent</t>
  </si>
  <si>
    <t>Ruinous Rift</t>
  </si>
  <si>
    <t>Outer Ritual Chamber</t>
  </si>
  <si>
    <t>Ancient Cistern</t>
  </si>
  <si>
    <t>Sanctuary of Gloom</t>
  </si>
  <si>
    <t>Shrine of the Depths</t>
  </si>
  <si>
    <t>Plane of Night</t>
  </si>
  <si>
    <t>Decrepit Wood</t>
  </si>
  <si>
    <t>Savvas Armory</t>
  </si>
  <si>
    <t>Scorched Summit</t>
  </si>
  <si>
    <t>Gloomhaven Battlements A</t>
  </si>
  <si>
    <t>Gloomhaven Battlements B</t>
  </si>
  <si>
    <t>Doom Trench</t>
  </si>
  <si>
    <t>Slaven Pens</t>
  </si>
  <si>
    <t>Treacherous Divide</t>
  </si>
  <si>
    <t>Ancient Defense Network</t>
  </si>
  <si>
    <t>Timeworn Tomb</t>
  </si>
  <si>
    <t>Realm of the Voice</t>
  </si>
  <si>
    <t>Drake Nest</t>
  </si>
  <si>
    <t>Tribal Assault</t>
  </si>
  <si>
    <t>Rebel Swamp</t>
  </si>
  <si>
    <t>Nightmare Peak</t>
  </si>
  <si>
    <t>Lair of the Unseeing Eye</t>
  </si>
  <si>
    <t>Shadow Weald</t>
  </si>
  <si>
    <t>Rebel's Stand</t>
  </si>
  <si>
    <t>Ghost Fortress</t>
  </si>
  <si>
    <t>The Void</t>
  </si>
  <si>
    <t>Noxious Cellar</t>
  </si>
  <si>
    <t>Crypt Basement</t>
  </si>
  <si>
    <t>Palace of Ice</t>
  </si>
  <si>
    <t>Foggy Thicket</t>
  </si>
  <si>
    <t>Bandit's Wood</t>
  </si>
  <si>
    <t>Investigation</t>
  </si>
  <si>
    <t>Bloody Shack</t>
  </si>
  <si>
    <t>Forgotten Grove</t>
  </si>
  <si>
    <t>Alchemy Lab</t>
  </si>
  <si>
    <t>Fading Lighthouse</t>
  </si>
  <si>
    <t>Pit of Souls</t>
  </si>
  <si>
    <t>Magma Pit</t>
  </si>
  <si>
    <t>Underwater Lagoon</t>
  </si>
  <si>
    <t>Sulfur Mine</t>
  </si>
  <si>
    <t>Clockwork Cove</t>
  </si>
  <si>
    <t>Arcane Library</t>
  </si>
  <si>
    <t>Toxic Moor</t>
  </si>
  <si>
    <t>Well of the Unfortunate</t>
  </si>
  <si>
    <t>Chained Isle</t>
  </si>
  <si>
    <t>Windswept Highlands</t>
  </si>
  <si>
    <t>Oozing Grove</t>
  </si>
  <si>
    <t>Rockslide Ridge</t>
  </si>
  <si>
    <t>Merchant Ship</t>
  </si>
  <si>
    <t>Overgrown Graveyard</t>
  </si>
  <si>
    <t>Harrower Hive</t>
  </si>
  <si>
    <t>Vault of Secrets</t>
  </si>
  <si>
    <t>Sacrifice Pit</t>
  </si>
  <si>
    <t>Lost Temple</t>
  </si>
  <si>
    <t>Vigil Keep</t>
  </si>
  <si>
    <t>Temple of the Eclipse</t>
  </si>
  <si>
    <t>Burning Mountain</t>
  </si>
  <si>
    <t>Shadows Within</t>
  </si>
  <si>
    <t>Crystalline Cave</t>
  </si>
  <si>
    <t>Sun Temple</t>
  </si>
  <si>
    <t>Harried Village</t>
  </si>
  <si>
    <t>Corrupted Cove</t>
  </si>
  <si>
    <t>Plane of Water</t>
  </si>
  <si>
    <t>Syndicate Hideout</t>
  </si>
  <si>
    <t>Demonic Rift</t>
  </si>
  <si>
    <t>Wild Melee</t>
  </si>
  <si>
    <t>Back Alley Brawl</t>
  </si>
  <si>
    <t>Sunken Vessel</t>
  </si>
  <si>
    <t>Vermling Nest</t>
  </si>
  <si>
    <t>Payment Due</t>
  </si>
  <si>
    <t>Unlocked?</t>
  </si>
  <si>
    <t>G "Ancient Technology"</t>
  </si>
  <si>
    <t>16, 18</t>
  </si>
  <si>
    <t>G "City Rule: Economic" / G "End of the Invasion"</t>
  </si>
  <si>
    <t>G "End of the Invasion"</t>
  </si>
  <si>
    <t>33, 34</t>
  </si>
  <si>
    <t>P "The Drake's Command"</t>
  </si>
  <si>
    <t>33, 40</t>
  </si>
  <si>
    <t>P "The Voice's Treasure" / P "The Drake's Treasure"</t>
  </si>
  <si>
    <t>G "The Drake Slain"</t>
  </si>
  <si>
    <t>G "The Voice Freed"</t>
  </si>
  <si>
    <t>G "The Voice Silenced"</t>
  </si>
  <si>
    <t>49, 50</t>
  </si>
  <si>
    <t>G "Annihilation of Order"</t>
  </si>
  <si>
    <t>P "The Poison's Source"</t>
  </si>
  <si>
    <t>P "Through the Nest"</t>
  </si>
  <si>
    <t>46, 47, 48</t>
  </si>
  <si>
    <t>25, 32</t>
  </si>
  <si>
    <t>11, 12, 20</t>
  </si>
  <si>
    <t>12, 20</t>
  </si>
  <si>
    <t>C78</t>
  </si>
  <si>
    <t>C77</t>
  </si>
  <si>
    <t>C73</t>
  </si>
  <si>
    <t>C68</t>
  </si>
  <si>
    <t>C67</t>
  </si>
  <si>
    <t>C64</t>
  </si>
  <si>
    <t>C63</t>
  </si>
  <si>
    <t>C58</t>
  </si>
  <si>
    <t>C47</t>
  </si>
  <si>
    <t>R61, R62</t>
  </si>
  <si>
    <t>R49</t>
  </si>
  <si>
    <t>"Take Back the Trees" quest</t>
  </si>
  <si>
    <t>11, 12</t>
  </si>
  <si>
    <t>G "The Dead invade"</t>
  </si>
  <si>
    <t>G "City Rule: Demonic", G "Artifact: Lost"</t>
  </si>
  <si>
    <t>"Finding the Cure" personal quest</t>
  </si>
  <si>
    <t>G "The Rift Neutralized" / (G "Artifact: Recovered")</t>
  </si>
  <si>
    <t>Hidden Envelope</t>
  </si>
  <si>
    <t>Count</t>
  </si>
  <si>
    <t>Grand Total</t>
  </si>
  <si>
    <t>Quantity</t>
  </si>
  <si>
    <t>N</t>
  </si>
  <si>
    <t>13, Scenario 37 Chest</t>
  </si>
  <si>
    <t>13, 39</t>
  </si>
  <si>
    <t>Vibrant Grotto</t>
  </si>
  <si>
    <t>15 or 17 or 20</t>
  </si>
  <si>
    <t>1. Right-Click on edge of chart</t>
  </si>
  <si>
    <t>2. Click "Refresh Data"</t>
  </si>
  <si>
    <r>
      <rPr>
        <b/>
        <u/>
        <sz val="16"/>
        <rFont val="Calibri"/>
        <family val="2"/>
        <scheme val="minor"/>
      </rPr>
      <t>NOTE:</t>
    </r>
    <r>
      <rPr>
        <b/>
        <sz val="16"/>
        <rFont val="Calibri"/>
        <family val="2"/>
        <scheme val="minor"/>
      </rPr>
      <t xml:space="preserve"> </t>
    </r>
    <r>
      <rPr>
        <sz val="16"/>
        <rFont val="Calibri"/>
        <family val="2"/>
        <scheme val="minor"/>
      </rPr>
      <t>As you progress, refresh your chart for best results!</t>
    </r>
  </si>
  <si>
    <t>n/a</t>
  </si>
  <si>
    <t>Hit Ctrl + O (Letter O)</t>
  </si>
  <si>
    <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</si>
</sst>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theme="1"/>
      <name val="Calibri"/>
      <family val="2"/>
      <scheme val="minor"/>
    </font>
    <font>
      <b/>
      <sz val="11"/>
      <color theme="0"/>
      <name val="Calibri"/>
      <family val="2"/>
      <scheme val="minor"/>
    </font>
    <font>
      <sz val="9"/>
      <color theme="1"/>
      <name val="Calibri"/>
      <family val="2"/>
      <scheme val="minor"/>
    </font>
    <font>
      <sz val="11"/>
      <name val="Calibri"/>
      <family val="2"/>
      <scheme val="minor"/>
    </font>
    <font>
      <sz val="10"/>
      <name val="Calibri"/>
      <family val="2"/>
      <scheme val="minor"/>
    </font>
    <font>
      <sz val="16"/>
      <name val="Calibri"/>
      <family val="2"/>
      <scheme val="minor"/>
    </font>
    <font>
      <b/>
      <sz val="16"/>
      <name val="Calibri"/>
      <family val="2"/>
      <scheme val="minor"/>
    </font>
    <font>
      <b/>
      <u/>
      <sz val="16"/>
      <name val="Calibri"/>
      <family val="2"/>
      <scheme val="minor"/>
    </font>
  </fonts>
  <fills count="4">
    <fill>
      <patternFill patternType="none"/>
    </fill>
    <fill>
      <patternFill patternType="gray125"/>
    </fill>
    <fill>
      <patternFill patternType="solid">
        <fgColor theme="5"/>
        <bgColor theme="4"/>
      </patternFill>
    </fill>
    <fill>
      <patternFill patternType="solid">
        <fgColor theme="0" tint="-0.249977111117893"/>
        <bgColor indexed="64"/>
      </patternFill>
    </fill>
  </fills>
  <borders count="14">
    <border>
      <left/>
      <right/>
      <top/>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bottom/>
      <diagonal/>
    </border>
  </borders>
  <cellStyleXfs count="1">
    <xf numFmtId="0" fontId="0" fillId="0" borderId="0"/>
  </cellStyleXfs>
  <cellXfs count="33">
    <xf numFmtId="0" fontId="0" fillId="0" borderId="0" xfId="0"/>
    <xf numFmtId="0" fontId="0" fillId="0" borderId="0" xfId="0" applyFill="1"/>
    <xf numFmtId="0" fontId="4" fillId="0" borderId="0" xfId="0" applyFont="1" applyFill="1"/>
    <xf numFmtId="0" fontId="0" fillId="0" borderId="6"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0" fillId="0" borderId="0" xfId="0" applyProtection="1"/>
    <xf numFmtId="0" fontId="0" fillId="0" borderId="10" xfId="0" applyBorder="1" applyAlignment="1" applyProtection="1">
      <alignment horizontal="center" vertical="center" wrapText="1"/>
    </xf>
    <xf numFmtId="0" fontId="3" fillId="0" borderId="10" xfId="0" applyFont="1" applyBorder="1" applyAlignment="1" applyProtection="1">
      <alignment horizontal="center" vertical="center" wrapText="1"/>
    </xf>
    <xf numFmtId="0" fontId="0" fillId="0" borderId="9" xfId="0" applyBorder="1" applyAlignment="1" applyProtection="1">
      <alignment horizontal="center" vertical="center" wrapText="1"/>
    </xf>
    <xf numFmtId="0" fontId="0" fillId="0" borderId="7" xfId="0" applyBorder="1" applyAlignment="1" applyProtection="1">
      <alignment horizontal="center" vertical="center" wrapText="1"/>
    </xf>
    <xf numFmtId="0" fontId="0" fillId="0" borderId="0" xfId="0" applyAlignment="1" applyProtection="1">
      <alignment horizontal="center" vertical="center" wrapText="1"/>
    </xf>
    <xf numFmtId="0" fontId="0" fillId="0" borderId="11" xfId="0" applyBorder="1" applyAlignment="1" applyProtection="1">
      <alignment horizontal="center" vertical="center"/>
    </xf>
    <xf numFmtId="0" fontId="0" fillId="0" borderId="3" xfId="0" applyBorder="1" applyAlignment="1" applyProtection="1">
      <alignment horizontal="center" vertical="center"/>
    </xf>
    <xf numFmtId="0" fontId="0" fillId="0" borderId="8" xfId="0" applyBorder="1" applyAlignment="1" applyProtection="1">
      <alignment horizontal="center" vertical="center"/>
    </xf>
    <xf numFmtId="0" fontId="0" fillId="0" borderId="5" xfId="0" applyBorder="1" applyAlignment="1" applyProtection="1">
      <alignment horizontal="center" vertical="center"/>
    </xf>
    <xf numFmtId="0" fontId="0" fillId="0" borderId="6" xfId="0" applyBorder="1" applyAlignment="1" applyProtection="1">
      <alignment horizontal="center" vertical="center"/>
    </xf>
    <xf numFmtId="0" fontId="0" fillId="0" borderId="4" xfId="0" applyBorder="1" applyAlignment="1" applyProtection="1">
      <alignment horizontal="center" vertical="center"/>
    </xf>
    <xf numFmtId="0" fontId="4" fillId="0" borderId="4" xfId="0" applyFont="1" applyBorder="1" applyAlignment="1" applyProtection="1">
      <alignment horizontal="center" vertical="center"/>
    </xf>
    <xf numFmtId="0" fontId="0" fillId="0" borderId="4" xfId="0" applyBorder="1" applyAlignment="1" applyProtection="1">
      <alignment horizontal="left" vertical="center"/>
    </xf>
    <xf numFmtId="0" fontId="0" fillId="0" borderId="6" xfId="0" applyBorder="1" applyAlignment="1" applyProtection="1">
      <alignment vertical="center"/>
    </xf>
    <xf numFmtId="0" fontId="0" fillId="0" borderId="4" xfId="0" applyFill="1" applyBorder="1" applyAlignment="1" applyProtection="1">
      <alignment horizontal="center" vertical="center"/>
    </xf>
    <xf numFmtId="0" fontId="5" fillId="0" borderId="0" xfId="0" applyFont="1" applyFill="1"/>
    <xf numFmtId="0" fontId="6" fillId="3" borderId="0" xfId="0" applyFont="1" applyFill="1"/>
    <xf numFmtId="0" fontId="6" fillId="0" borderId="0" xfId="0" applyFont="1" applyFill="1"/>
    <xf numFmtId="0" fontId="6" fillId="3" borderId="0" xfId="0" applyFont="1" applyFill="1" applyAlignment="1">
      <alignment horizontal="center"/>
    </xf>
    <xf numFmtId="0" fontId="0" fillId="0" borderId="8" xfId="0" applyBorder="1" applyAlignment="1" applyProtection="1">
      <alignment horizontal="center" vertical="center"/>
      <protection locked="0"/>
    </xf>
    <xf numFmtId="0" fontId="2" fillId="2" borderId="1" xfId="0" applyFont="1" applyFill="1" applyBorder="1" applyAlignment="1" applyProtection="1">
      <alignment horizontal="center" wrapText="1"/>
    </xf>
    <xf numFmtId="0" fontId="2" fillId="2" borderId="2" xfId="0" applyFont="1" applyFill="1" applyBorder="1" applyAlignment="1" applyProtection="1">
      <alignment horizontal="center" wrapText="1"/>
    </xf>
    <xf numFmtId="0" fontId="1" fillId="0" borderId="13" xfId="0" pivotButton="1" applyFont="1" applyBorder="1"/>
    <xf numFmtId="0" fontId="1" fillId="0" borderId="12" xfId="0" applyFont="1" applyBorder="1"/>
    <xf numFmtId="0" fontId="1" fillId="0" borderId="13" xfId="0" applyFont="1" applyBorder="1" applyAlignment="1">
      <alignment horizontal="left"/>
    </xf>
    <xf numFmtId="0" fontId="1" fillId="0" borderId="12" xfId="0" applyNumberFormat="1" applyFont="1" applyBorder="1"/>
  </cellXfs>
  <cellStyles count="1">
    <cellStyle name="Normal" xfId="0" builtinId="0"/>
  </cellStyles>
  <dxfs count="58">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numFmt numFmtId="0" formatCode="General"/>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medium">
          <color indexed="64"/>
        </right>
        <top style="thin">
          <color indexed="64"/>
        </top>
        <bottom style="thin">
          <color indexed="64"/>
        </bottom>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protection locked="1" hidden="0"/>
    </dxf>
    <dxf>
      <border>
        <bottom style="medium">
          <color indexed="64"/>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color theme="1" tint="0.499984740745262"/>
      </font>
      <fill>
        <patternFill>
          <bgColor theme="1" tint="0.499984740745262"/>
        </patternFill>
      </fill>
    </dxf>
    <dxf>
      <fill>
        <patternFill>
          <bgColor theme="2" tint="-0.24994659260841701"/>
        </patternFill>
      </fill>
    </dxf>
    <dxf>
      <fill>
        <patternFill>
          <bgColor theme="5"/>
        </patternFill>
      </fill>
    </dxf>
    <dxf>
      <font>
        <color theme="5"/>
      </font>
      <fill>
        <patternFill>
          <bgColor theme="5"/>
        </patternFill>
      </fill>
    </dxf>
    <dxf>
      <font>
        <color theme="2" tint="-0.499984740745262"/>
      </font>
      <fill>
        <patternFill>
          <bgColor theme="2" tint="-0.499984740745262"/>
        </patternFill>
      </fill>
    </dxf>
    <dxf>
      <font>
        <color rgb="FF9C0006"/>
      </font>
      <fill>
        <patternFill>
          <bgColor rgb="FFFFC7CE"/>
        </patternFill>
      </fill>
    </dxf>
  </dxfs>
  <tableStyles count="0" defaultTableStyle="TableStyleMedium2" defaultPivotStyle="PivotStyleLight16"/>
  <colors>
    <mruColors>
      <color rgb="FFFF33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[Gloomhaven_Scenario_Spreadsheet.xlsm]Percentage_Chart!PivotTable36</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Percentage Complete</a:t>
            </a:r>
          </a:p>
        </c:rich>
      </c:tx>
      <c:layout>
        <c:manualLayout>
          <c:xMode val="edge"/>
          <c:yMode val="edge"/>
          <c:x val="0.30991654889292691"/>
          <c:y val="7.608673373528961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tx1">
              <a:lumMod val="85000"/>
              <a:lumOff val="15000"/>
            </a:schemeClr>
          </a:solidFill>
          <a:ln>
            <a:noFill/>
          </a:ln>
          <a:effectLst>
            <a:outerShdw blurRad="254000" sx="102000" sy="102000" algn="ctr" rotWithShape="0">
              <a:prstClr val="black">
                <a:alpha val="20000"/>
              </a:prstClr>
            </a:outerShdw>
          </a:effectLst>
          <a:sp3d/>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a:t>Incomplete
</a:t>
                </a:r>
                <a:fld id="{E03C7ABB-A0F9-41D2-A7EF-53940F163077}" type="PERCENTAGE">
                  <a:rPr lang="en-US"/>
                  <a:pPr>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1"/>
          </a:solidFill>
          <a:ln>
            <a:noFill/>
          </a:ln>
          <a:effectLst>
            <a:outerShdw blurRad="254000" sx="102000" sy="102000" algn="ctr" rotWithShape="0">
              <a:prstClr val="black">
                <a:alpha val="20000"/>
              </a:prstClr>
            </a:outerShdw>
          </a:effectLst>
          <a:sp3d/>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a:t>Complete
</a:t>
                </a:r>
                <a:fld id="{310EF490-4C61-4185-B58A-7AD38DA59B2E}" type="PERCENTAGE">
                  <a:rPr lang="en-US"/>
                  <a:pPr>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s>
    <c:view3D>
      <c:rotX val="50"/>
      <c:rotY val="2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Percentage_Chart!$B$2</c:f>
              <c:strCache>
                <c:ptCount val="1"/>
                <c:pt idx="0">
                  <c:v>Total</c:v>
                </c:pt>
              </c:strCache>
            </c:strRef>
          </c:tx>
          <c:explosion val="10"/>
          <c:dPt>
            <c:idx val="0"/>
            <c:bubble3D val="0"/>
            <c:spPr>
              <a:solidFill>
                <a:schemeClr val="tx1">
                  <a:lumMod val="85000"/>
                  <a:lumOff val="15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FB6E-450E-BD2D-CB1C9E8143F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E95D-410B-AC9A-37CF74F36818}"/>
              </c:ext>
            </c:extLst>
          </c:dPt>
          <c:dLbls>
            <c:dLbl>
              <c:idx val="0"/>
              <c:tx>
                <c:rich>
                  <a:bodyPr/>
                  <a:lstStyle/>
                  <a:p>
                    <a:r>
                      <a:rPr lang="en-US"/>
                      <a:t>Incomplete
</a:t>
                    </a:r>
                    <a:fld id="{E03C7ABB-A0F9-41D2-A7EF-53940F163077}" type="PERCENTAGE">
                      <a:rPr lang="en-US"/>
                      <a:pPr/>
                      <a:t>[PERCENTAGE]</a:t>
                    </a:fld>
                    <a:endParaRPr lang="en-US"/>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FB6E-450E-BD2D-CB1C9E8143F4}"/>
                </c:ext>
              </c:extLst>
            </c:dLbl>
            <c:dLbl>
              <c:idx val="1"/>
              <c:tx>
                <c:rich>
                  <a:bodyPr/>
                  <a:lstStyle/>
                  <a:p>
                    <a:r>
                      <a:rPr lang="en-US"/>
                      <a:t>Complete
</a:t>
                    </a:r>
                    <a:fld id="{310EF490-4C61-4185-B58A-7AD38DA59B2E}" type="PERCENTAGE">
                      <a:rPr lang="en-US"/>
                      <a:pPr/>
                      <a:t>[PERCENTAGE]</a:t>
                    </a:fld>
                    <a:endParaRPr lang="en-US"/>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95D-410B-AC9A-37CF74F36818}"/>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Percentage_Chart!$A$3:$A$5</c:f>
              <c:strCache>
                <c:ptCount val="2"/>
                <c:pt idx="0">
                  <c:v>N</c:v>
                </c:pt>
                <c:pt idx="1">
                  <c:v>Y</c:v>
                </c:pt>
              </c:strCache>
            </c:strRef>
          </c:cat>
          <c:val>
            <c:numRef>
              <c:f>Percentage_Chart!$B$3:$B$5</c:f>
              <c:numCache>
                <c:formatCode>General</c:formatCode>
                <c:ptCount val="2"/>
                <c:pt idx="0">
                  <c:v>92</c:v>
                </c:pt>
                <c:pt idx="1">
                  <c:v>3</c:v>
                </c:pt>
              </c:numCache>
            </c:numRef>
          </c:val>
          <c:extLst>
            <c:ext xmlns:c16="http://schemas.microsoft.com/office/drawing/2014/chart" uri="{C3380CC4-5D6E-409C-BE32-E72D297353CC}">
              <c16:uniqueId val="{00000000-FB6E-450E-BD2D-CB1C9E8143F4}"/>
            </c:ext>
          </c:extLst>
        </c:ser>
        <c:dLbls>
          <c:dLblPos val="ctr"/>
          <c:showLegendKey val="0"/>
          <c:showVal val="0"/>
          <c:showCatName val="0"/>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11</xdr:col>
      <xdr:colOff>50049</xdr:colOff>
      <xdr:row>2</xdr:row>
      <xdr:rowOff>15241</xdr:rowOff>
    </xdr:from>
    <xdr:to>
      <xdr:col>14</xdr:col>
      <xdr:colOff>50049</xdr:colOff>
      <xdr:row>105</xdr:row>
      <xdr:rowOff>28576</xdr:rowOff>
    </xdr:to>
    <mc:AlternateContent xmlns:mc="http://schemas.openxmlformats.org/markup-compatibility/2006" xmlns:sle15="http://schemas.microsoft.com/office/drawing/2012/slicer">
      <mc:Choice Requires="sle15">
        <xdr:graphicFrame macro="">
          <xdr:nvGraphicFramePr>
            <xdr:cNvPr id="2" name="Unlocked?">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Unlocked?"/>
            </a:graphicData>
          </a:graphic>
        </xdr:graphicFrame>
      </mc:Choice>
      <mc:Fallback xmlns="">
        <xdr:sp macro="" textlink="">
          <xdr:nvSpPr>
            <xdr:cNvPr id="0" name=""/>
            <xdr:cNvSpPr>
              <a:spLocks noTextEdit="1"/>
            </xdr:cNvSpPr>
          </xdr:nvSpPr>
          <xdr:spPr>
            <a:xfrm>
              <a:off x="11459094" y="381001"/>
              <a:ext cx="1828800" cy="24974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11</xdr:col>
      <xdr:colOff>54204</xdr:colOff>
      <xdr:row>105</xdr:row>
      <xdr:rowOff>124691</xdr:rowOff>
    </xdr:from>
    <xdr:to>
      <xdr:col>14</xdr:col>
      <xdr:colOff>54204</xdr:colOff>
      <xdr:row>119</xdr:row>
      <xdr:rowOff>60960</xdr:rowOff>
    </xdr:to>
    <mc:AlternateContent xmlns:mc="http://schemas.openxmlformats.org/markup-compatibility/2006" xmlns:sle15="http://schemas.microsoft.com/office/drawing/2012/slicer">
      <mc:Choice Requires="sle15">
        <xdr:graphicFrame macro="">
          <xdr:nvGraphicFramePr>
            <xdr:cNvPr id="3" name="Complet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omplete?"/>
            </a:graphicData>
          </a:graphic>
        </xdr:graphicFrame>
      </mc:Choice>
      <mc:Fallback xmlns="">
        <xdr:sp macro="" textlink="">
          <xdr:nvSpPr>
            <xdr:cNvPr id="0" name=""/>
            <xdr:cNvSpPr>
              <a:spLocks noTextEdit="1"/>
            </xdr:cNvSpPr>
          </xdr:nvSpPr>
          <xdr:spPr>
            <a:xfrm>
              <a:off x="11463249" y="2974571"/>
              <a:ext cx="1828800" cy="249658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1</xdr:col>
      <xdr:colOff>121920</xdr:colOff>
      <xdr:row>0</xdr:row>
      <xdr:rowOff>42491</xdr:rowOff>
    </xdr:from>
    <xdr:to>
      <xdr:col>3</xdr:col>
      <xdr:colOff>350520</xdr:colOff>
      <xdr:row>2</xdr:row>
      <xdr:rowOff>240869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2020" y="42491"/>
          <a:ext cx="2377440" cy="5641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731520</xdr:colOff>
      <xdr:row>7</xdr:row>
      <xdr:rowOff>30480</xdr:rowOff>
    </xdr:from>
    <xdr:to>
      <xdr:col>9</xdr:col>
      <xdr:colOff>106680</xdr:colOff>
      <xdr:row>26</xdr:row>
      <xdr:rowOff>68580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3860.439066550927" createdVersion="6" refreshedVersion="6" minRefreshableVersion="3" recordCount="96" xr:uid="{6A1506EB-0809-4D41-928A-BA5910020EBE}">
  <cacheSource type="worksheet">
    <worksheetSource name="Table1"/>
  </cacheSource>
  <cacheFields count="11">
    <cacheField name="Unlocked Scenario" numFmtId="0">
      <sharedItems containsMixedTypes="1" containsNumber="1" containsInteger="1" minValue="1" maxValue="95"/>
    </cacheField>
    <cacheField name="Name" numFmtId="0">
      <sharedItems/>
    </cacheField>
    <cacheField name="Unlocked?" numFmtId="0">
      <sharedItems/>
    </cacheField>
    <cacheField name="Meet Requirements?" numFmtId="0">
      <sharedItems containsBlank="1"/>
    </cacheField>
    <cacheField name="Scenario" numFmtId="0">
      <sharedItems containsMixedTypes="1" containsNumber="1" containsInteger="1" minValue="1" maxValue="94"/>
    </cacheField>
    <cacheField name="Event (City/Road)" numFmtId="0">
      <sharedItems containsBlank="1"/>
    </cacheField>
    <cacheField name="Complete?" numFmtId="0">
      <sharedItems count="3">
        <s v="Y"/>
        <s v="N"/>
        <s v="-" u="1"/>
      </sharedItems>
    </cacheField>
    <cacheField name="Count" numFmtId="0">
      <sharedItems containsString="0" containsBlank="1" containsNumber="1" containsInteger="1" minValue="1" maxValue="1"/>
    </cacheField>
    <cacheField name="Unlocks" numFmtId="0">
      <sharedItems containsMixedTypes="1" containsNumber="1" containsInteger="1" minValue="1" maxValue="95"/>
    </cacheField>
    <cacheField name="Achievement (Global/Party)" numFmtId="0">
      <sharedItems containsBlank="1"/>
    </cacheField>
    <cacheField name="Treasure Loote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
  <r>
    <s v="Start"/>
    <s v="-"/>
    <s v="Y"/>
    <s v="-"/>
    <s v="-"/>
    <s v="-"/>
    <x v="0"/>
    <m/>
    <n v="1"/>
    <s v="G &quot;City Rule: Militaristic&quot;"/>
    <s v="-"/>
  </r>
  <r>
    <n v="1"/>
    <s v="Black Barrow"/>
    <s v="Y"/>
    <m/>
    <s v="-"/>
    <s v="-"/>
    <x v="0"/>
    <n v="1"/>
    <n v="2"/>
    <s v="P &quot;First Steps&quot;"/>
    <m/>
  </r>
  <r>
    <n v="2"/>
    <s v="Barrow Lair"/>
    <s v="Y"/>
    <m/>
    <n v="1"/>
    <s v="-"/>
    <x v="0"/>
    <n v="1"/>
    <s v="3, 4"/>
    <s v="-"/>
    <m/>
  </r>
  <r>
    <n v="3"/>
    <s v="Inox Encampment"/>
    <s v="Y"/>
    <s v=""/>
    <n v="2"/>
    <s v="-"/>
    <x v="0"/>
    <n v="1"/>
    <s v="8, 9"/>
    <s v="P &quot;Jekserah's Plans&quot;"/>
    <m/>
  </r>
  <r>
    <n v="4"/>
    <s v="Crypt of the Damned"/>
    <s v="Y"/>
    <m/>
    <n v="2"/>
    <s v="-"/>
    <x v="1"/>
    <n v="1"/>
    <s v="5, 6"/>
    <s v="-"/>
    <m/>
  </r>
  <r>
    <n v="5"/>
    <s v="Ruinous Crypt"/>
    <s v="N"/>
    <m/>
    <n v="4"/>
    <s v="-"/>
    <x v="1"/>
    <n v="1"/>
    <s v="10, 14, 19"/>
    <s v="-"/>
    <m/>
  </r>
  <r>
    <n v="6"/>
    <s v="Decaying Crypt"/>
    <s v="N"/>
    <m/>
    <n v="4"/>
    <s v="-"/>
    <x v="1"/>
    <n v="1"/>
    <n v="8"/>
    <s v="P &quot;Jekserah's Plans&quot;, P &quot;Dark Bounty&quot;"/>
    <m/>
  </r>
  <r>
    <n v="7"/>
    <s v="Vibrant Grotto"/>
    <s v="N"/>
    <m/>
    <n v="8"/>
    <s v="-"/>
    <x v="1"/>
    <n v="1"/>
    <n v="20"/>
    <s v="-"/>
    <m/>
  </r>
  <r>
    <n v="8"/>
    <s v="Gloomhaven Warehouse"/>
    <s v="Y"/>
    <s v=""/>
    <s v="3, 6"/>
    <s v="-"/>
    <x v="1"/>
    <n v="1"/>
    <s v="7, 13, 14"/>
    <s v="G &quot;The Merchant Flees&quot;"/>
    <m/>
  </r>
  <r>
    <n v="9"/>
    <s v="Diamond Mine"/>
    <s v="Y"/>
    <s v=""/>
    <n v="3"/>
    <s v="-"/>
    <x v="1"/>
    <n v="1"/>
    <s v="11, 12"/>
    <s v="G &quot;The Dead invade&quot;"/>
    <m/>
  </r>
  <r>
    <n v="10"/>
    <s v="Plane of Elemental Power"/>
    <s v="N"/>
    <s v=""/>
    <n v="5"/>
    <s v="-"/>
    <x v="1"/>
    <n v="1"/>
    <s v="21, 22"/>
    <s v="P &quot;A Demon's Errand&quot;"/>
    <m/>
  </r>
  <r>
    <n v="11"/>
    <s v="Gloomhaven Square A"/>
    <s v="N"/>
    <s v=""/>
    <n v="9"/>
    <m/>
    <x v="1"/>
    <n v="1"/>
    <s v="16, 18"/>
    <s v="G &quot;City Rule: Economic&quot; / G &quot;End of the Invasion&quot;"/>
    <m/>
  </r>
  <r>
    <n v="12"/>
    <s v="Gloomhaven Square B"/>
    <s v="N"/>
    <s v=""/>
    <n v="9"/>
    <m/>
    <x v="1"/>
    <n v="1"/>
    <s v="16, 18, 28"/>
    <s v="G &quot;End of the Invasion&quot;"/>
    <m/>
  </r>
  <r>
    <n v="13"/>
    <s v="Temple of the Seer"/>
    <s v="N"/>
    <m/>
    <n v="8"/>
    <s v="-"/>
    <x v="1"/>
    <n v="1"/>
    <s v="15 or 17 or 20"/>
    <s v="-"/>
    <m/>
  </r>
  <r>
    <n v="14"/>
    <s v="Frozen Hollow"/>
    <s v="N"/>
    <m/>
    <s v="5, 8, 18"/>
    <s v="-"/>
    <x v="1"/>
    <n v="1"/>
    <s v="-"/>
    <s v="G &quot;The Power of Enhancement&quot;"/>
    <m/>
  </r>
  <r>
    <n v="15"/>
    <s v="Shrine of Strength"/>
    <s v="N"/>
    <m/>
    <s v="13, 39"/>
    <s v="-"/>
    <x v="1"/>
    <n v="1"/>
    <s v="-"/>
    <s v="-"/>
    <m/>
  </r>
  <r>
    <n v="16"/>
    <s v="Mountain Pass"/>
    <s v="N"/>
    <m/>
    <s v="11, 12, 20"/>
    <s v="-"/>
    <x v="1"/>
    <n v="1"/>
    <s v="24, 25"/>
    <s v="-"/>
    <m/>
  </r>
  <r>
    <n v="17"/>
    <s v="Lost Island"/>
    <s v="N"/>
    <m/>
    <s v="13, Scenario 37 Chest"/>
    <m/>
    <x v="1"/>
    <n v="1"/>
    <s v="-"/>
    <s v="-"/>
    <m/>
  </r>
  <r>
    <n v="18"/>
    <s v="Abandoned Sewers"/>
    <s v="N"/>
    <m/>
    <s v="11, 12, 20"/>
    <s v="-"/>
    <x v="1"/>
    <n v="1"/>
    <s v="14, 23, 26, 43"/>
    <s v="-"/>
    <m/>
  </r>
  <r>
    <n v="19"/>
    <s v="Forgotten Crypt"/>
    <s v="N"/>
    <m/>
    <n v="5"/>
    <s v="-"/>
    <x v="1"/>
    <n v="1"/>
    <n v="27"/>
    <s v="P &quot;Stonebreaker's Censer&quot;"/>
    <m/>
  </r>
  <r>
    <n v="20"/>
    <s v="Necromancer's Sanctum"/>
    <s v="N"/>
    <m/>
    <s v="7, 13"/>
    <s v="-"/>
    <x v="1"/>
    <n v="1"/>
    <s v="16, 18, 28"/>
    <s v="-"/>
    <m/>
  </r>
  <r>
    <n v="21"/>
    <s v="Infernal Throne"/>
    <s v="N"/>
    <s v=""/>
    <n v="10"/>
    <s v="-"/>
    <x v="1"/>
    <n v="1"/>
    <s v="-"/>
    <s v="G &quot;The Rift Neutralized&quot; / (G &quot;Artifact: Recovered&quot;)"/>
    <m/>
  </r>
  <r>
    <n v="22"/>
    <s v="Temple of the Elements"/>
    <s v="N"/>
    <m/>
    <s v="10, 26"/>
    <s v="-"/>
    <x v="1"/>
    <n v="1"/>
    <s v="31, 35, 36"/>
    <s v="G &quot;Artifact: Recovered&quot;"/>
    <m/>
  </r>
  <r>
    <n v="23"/>
    <s v="Deep Ruins"/>
    <s v="N"/>
    <m/>
    <n v="18"/>
    <s v="-"/>
    <x v="1"/>
    <n v="1"/>
    <s v="-"/>
    <s v="G &quot;Ancient Tech&quot; / P &quot;Through the Ruins&quot;"/>
    <m/>
  </r>
  <r>
    <n v="24"/>
    <s v="Echo Chamber"/>
    <s v="N"/>
    <m/>
    <n v="16"/>
    <s v="-"/>
    <x v="1"/>
    <n v="1"/>
    <s v="30, 32"/>
    <s v="P &quot;The Voice's Command&quot;"/>
    <m/>
  </r>
  <r>
    <n v="25"/>
    <s v="Icecrag Ascent"/>
    <s v="N"/>
    <m/>
    <n v="16"/>
    <s v="-"/>
    <x v="1"/>
    <n v="1"/>
    <s v="33, 34"/>
    <s v="P &quot;The Drake's Command&quot;"/>
    <m/>
  </r>
  <r>
    <n v="26"/>
    <s v="Ancient Cistern"/>
    <s v="N"/>
    <m/>
    <n v="18"/>
    <s v="-"/>
    <x v="1"/>
    <n v="1"/>
    <n v="22"/>
    <s v="P &quot;Following Clues&quot;"/>
    <m/>
  </r>
  <r>
    <n v="27"/>
    <s v="Ruinous Rift"/>
    <s v="N"/>
    <s v=""/>
    <n v="19"/>
    <s v="-"/>
    <x v="1"/>
    <n v="1"/>
    <s v="-"/>
    <s v="G &quot;The Rift Neutralized&quot;"/>
    <m/>
  </r>
  <r>
    <n v="28"/>
    <s v="Outer Ritual Chamber"/>
    <s v="N"/>
    <m/>
    <s v="12, 20"/>
    <s v="-"/>
    <x v="1"/>
    <n v="1"/>
    <n v="29"/>
    <s v="P &quot;An Invitation&quot;"/>
    <m/>
  </r>
  <r>
    <n v="29"/>
    <s v="Sanctuary of Gloom"/>
    <s v="N"/>
    <m/>
    <n v="28"/>
    <s v="-"/>
    <x v="1"/>
    <n v="1"/>
    <s v="-"/>
    <s v="G &quot;Edge of Darkness&quot;"/>
    <m/>
  </r>
  <r>
    <n v="30"/>
    <s v="Shrine of the Depths"/>
    <s v="N"/>
    <m/>
    <n v="24"/>
    <s v="-"/>
    <x v="1"/>
    <n v="1"/>
    <n v="42"/>
    <s v="&quot;The Scepter and the Voice&quot;"/>
    <m/>
  </r>
  <r>
    <n v="31"/>
    <s v="Plane of Night"/>
    <s v="N"/>
    <m/>
    <n v="22"/>
    <s v="-"/>
    <x v="1"/>
    <n v="1"/>
    <s v="37, 38, 39, 43"/>
    <s v="G &quot;Artifact: Cleansed&quot;"/>
    <m/>
  </r>
  <r>
    <n v="32"/>
    <s v="Decrepit Wood"/>
    <s v="N"/>
    <m/>
    <n v="24"/>
    <s v="-"/>
    <x v="1"/>
    <n v="1"/>
    <s v="33, 40"/>
    <s v="-"/>
    <m/>
  </r>
  <r>
    <n v="33"/>
    <s v="Savvas Armory"/>
    <s v="N"/>
    <m/>
    <s v="25, 32"/>
    <m/>
    <x v="1"/>
    <n v="1"/>
    <s v="-"/>
    <s v="P &quot;The Voice's Treasure&quot; / P &quot;The Drake's Treasure&quot;"/>
    <m/>
  </r>
  <r>
    <n v="34"/>
    <s v="Scorched Summit"/>
    <s v="N"/>
    <s v=""/>
    <n v="25"/>
    <m/>
    <x v="1"/>
    <n v="1"/>
    <s v="-"/>
    <s v="G &quot;The Drake Slain&quot;"/>
    <m/>
  </r>
  <r>
    <n v="35"/>
    <s v="Gloomhaven Battlements A"/>
    <s v="N"/>
    <s v=""/>
    <n v="22"/>
    <s v="-"/>
    <x v="1"/>
    <n v="1"/>
    <n v="45"/>
    <s v="G &quot;City Rule: Demonic&quot;, G &quot;Artifact: Lost&quot;"/>
    <m/>
  </r>
  <r>
    <n v="36"/>
    <s v="Gloomhaven Battlements B"/>
    <s v="N"/>
    <s v=""/>
    <n v="22"/>
    <s v="-"/>
    <x v="1"/>
    <n v="1"/>
    <s v="-"/>
    <s v="G &quot;The Rift Neutralized&quot;"/>
    <m/>
  </r>
  <r>
    <n v="37"/>
    <s v="Doom Trench"/>
    <s v="N"/>
    <m/>
    <n v="31"/>
    <s v="-"/>
    <x v="1"/>
    <n v="1"/>
    <n v="47"/>
    <s v="P &quot;Through the Trench&quot;"/>
    <m/>
  </r>
  <r>
    <n v="38"/>
    <s v="Slaven Pens"/>
    <s v="N"/>
    <m/>
    <n v="31"/>
    <s v="-"/>
    <x v="1"/>
    <n v="1"/>
    <s v="44, 48"/>
    <s v="P &quot;Redthorn's Aid&quot;"/>
    <m/>
  </r>
  <r>
    <n v="39"/>
    <s v="Treacherous Divide"/>
    <s v="N"/>
    <m/>
    <n v="31"/>
    <s v="-"/>
    <x v="1"/>
    <n v="1"/>
    <s v="15, 46"/>
    <s v="P &quot;Across the Divide&quot;"/>
    <m/>
  </r>
  <r>
    <n v="40"/>
    <s v="Ancient Defense Network"/>
    <s v="N"/>
    <m/>
    <n v="32"/>
    <m/>
    <x v="1"/>
    <n v="1"/>
    <n v="41"/>
    <s v="G &quot;Ancient Technology&quot;"/>
    <m/>
  </r>
  <r>
    <n v="41"/>
    <s v="Timeworn Tomb"/>
    <s v="N"/>
    <m/>
    <n v="40"/>
    <m/>
    <x v="1"/>
    <n v="1"/>
    <s v="-"/>
    <s v="G &quot;The Voice Freed&quot;"/>
    <m/>
  </r>
  <r>
    <n v="42"/>
    <s v="Realm of the Voice"/>
    <s v="N"/>
    <s v=""/>
    <n v="30"/>
    <s v="-"/>
    <x v="1"/>
    <n v="1"/>
    <s v="-"/>
    <s v="G &quot;The Voice Silenced&quot;"/>
    <m/>
  </r>
  <r>
    <n v="43"/>
    <s v="Drake Nest"/>
    <s v="N"/>
    <m/>
    <s v="18, 31"/>
    <s v="-"/>
    <x v="1"/>
    <n v="1"/>
    <s v="-"/>
    <s v="G &quot;Water Breathing&quot;"/>
    <m/>
  </r>
  <r>
    <n v="44"/>
    <s v="Tribal Assault"/>
    <s v="N"/>
    <m/>
    <n v="38"/>
    <s v="-"/>
    <x v="1"/>
    <n v="1"/>
    <s v="-"/>
    <s v="-"/>
    <m/>
  </r>
  <r>
    <n v="45"/>
    <s v="Rebel Swamp"/>
    <s v="N"/>
    <m/>
    <n v="35"/>
    <m/>
    <x v="1"/>
    <n v="1"/>
    <s v="49, 50"/>
    <s v="-"/>
    <m/>
  </r>
  <r>
    <n v="46"/>
    <s v="Nightmare Peak"/>
    <s v="N"/>
    <m/>
    <n v="39"/>
    <s v="-"/>
    <x v="1"/>
    <n v="1"/>
    <n v="51"/>
    <s v="G &quot;End of Corruption&quot;"/>
    <m/>
  </r>
  <r>
    <n v="47"/>
    <s v="Lair of the Unseeing Eye"/>
    <s v="N"/>
    <m/>
    <n v="37"/>
    <s v="-"/>
    <x v="1"/>
    <n v="1"/>
    <n v="51"/>
    <s v="G &quot;End of Corruption&quot;"/>
    <m/>
  </r>
  <r>
    <n v="48"/>
    <s v="Shadow Weald"/>
    <s v="N"/>
    <m/>
    <n v="38"/>
    <s v="-"/>
    <x v="1"/>
    <n v="1"/>
    <n v="51"/>
    <s v="G &quot;End of Corruption&quot;"/>
    <m/>
  </r>
  <r>
    <n v="49"/>
    <s v="Rebel's Stand"/>
    <s v="N"/>
    <m/>
    <n v="45"/>
    <m/>
    <x v="1"/>
    <n v="1"/>
    <s v="-"/>
    <s v="G &quot;Annihilation of Order&quot;"/>
    <m/>
  </r>
  <r>
    <n v="50"/>
    <s v="Ghost Fortress"/>
    <s v="N"/>
    <s v=""/>
    <n v="45"/>
    <m/>
    <x v="1"/>
    <n v="1"/>
    <s v="-"/>
    <s v="G &quot;City Rule: Militaristic&quot;"/>
    <m/>
  </r>
  <r>
    <n v="51"/>
    <s v="The Void"/>
    <s v="N"/>
    <m/>
    <s v="46, 47, 48"/>
    <m/>
    <x v="1"/>
    <n v="1"/>
    <s v="-"/>
    <s v="G &quot;End of Gloom&quot;"/>
    <m/>
  </r>
  <r>
    <n v="52"/>
    <s v="Noxious Cellar"/>
    <s v="N"/>
    <m/>
    <s v="&quot;Seeker of Xorn&quot; personal quest"/>
    <m/>
    <x v="1"/>
    <n v="1"/>
    <n v="53"/>
    <s v="-"/>
    <m/>
  </r>
  <r>
    <n v="53"/>
    <s v="Crypt Basement"/>
    <s v="N"/>
    <m/>
    <n v="52"/>
    <s v="-"/>
    <x v="1"/>
    <n v="1"/>
    <n v="54"/>
    <s v="-"/>
    <m/>
  </r>
  <r>
    <n v="54"/>
    <s v="Palace of Ice"/>
    <s v="N"/>
    <m/>
    <n v="53"/>
    <s v="-"/>
    <x v="1"/>
    <n v="1"/>
    <s v="Retire &quot;Seeker of Xorn&quot;; Unlocked Plagueherald"/>
    <m/>
    <m/>
  </r>
  <r>
    <n v="55"/>
    <s v="Foggy Thicket"/>
    <s v="N"/>
    <m/>
    <s v="&quot;Take Back the Trees&quot; quest"/>
    <m/>
    <x v="1"/>
    <n v="1"/>
    <n v="56"/>
    <s v="-"/>
    <m/>
  </r>
  <r>
    <n v="56"/>
    <s v="Bandit's Wood"/>
    <s v="N"/>
    <m/>
    <n v="55"/>
    <m/>
    <x v="1"/>
    <n v="1"/>
    <s v="-"/>
    <s v="-"/>
    <m/>
  </r>
  <r>
    <n v="57"/>
    <s v="Investigation"/>
    <s v="N"/>
    <m/>
    <s v="&quot;Vengeance&quot; personal quest"/>
    <m/>
    <x v="1"/>
    <n v="1"/>
    <n v="58"/>
    <s v="-"/>
    <m/>
  </r>
  <r>
    <n v="58"/>
    <s v="Bloody Shack"/>
    <s v="N"/>
    <m/>
    <n v="57"/>
    <s v="-"/>
    <x v="1"/>
    <n v="1"/>
    <s v="Retire &quot;Vengenace&quot;; Opened Envelope &quot;X&quot;"/>
    <m/>
    <m/>
  </r>
  <r>
    <n v="59"/>
    <s v="Forgotten Grove"/>
    <s v="N"/>
    <m/>
    <s v="&quot;Finding the Cure&quot; personal quest"/>
    <m/>
    <x v="1"/>
    <n v="1"/>
    <n v="60"/>
    <s v="-"/>
    <m/>
  </r>
  <r>
    <n v="60"/>
    <s v="Alchemy Lab"/>
    <s v="N"/>
    <m/>
    <n v="59"/>
    <m/>
    <x v="1"/>
    <n v="1"/>
    <s v="-"/>
    <s v="-"/>
    <m/>
  </r>
  <r>
    <n v="61"/>
    <s v="Fading Lighthouse"/>
    <s v="N"/>
    <m/>
    <s v="&quot;The Fall of Man&quot; personal quest"/>
    <m/>
    <x v="1"/>
    <n v="1"/>
    <n v="62"/>
    <s v="-"/>
    <m/>
  </r>
  <r>
    <n v="62"/>
    <s v="Pit of Souls"/>
    <s v="N"/>
    <m/>
    <n v="61"/>
    <s v="-"/>
    <x v="1"/>
    <n v="1"/>
    <s v="Retire &quot;The Fall of Man&quot;; Unlocked Nightshroud"/>
    <m/>
    <m/>
  </r>
  <r>
    <n v="63"/>
    <s v="Magma Pit"/>
    <s v="N"/>
    <m/>
    <s v="Random Scenario"/>
    <m/>
    <x v="1"/>
    <n v="1"/>
    <s v="-"/>
    <s v="-"/>
    <m/>
  </r>
  <r>
    <n v="64"/>
    <s v="Underwater Lagoon"/>
    <s v="Y"/>
    <m/>
    <s v="Random Scenario"/>
    <m/>
    <x v="1"/>
    <n v="1"/>
    <s v="-"/>
    <s v="-"/>
    <m/>
  </r>
  <r>
    <n v="65"/>
    <s v="Sulfur Mine"/>
    <s v="N"/>
    <m/>
    <s v="Random Scenario"/>
    <m/>
    <x v="1"/>
    <n v="1"/>
    <s v="-"/>
    <s v="G &quot;Ancient Technology&quot;"/>
    <m/>
  </r>
  <r>
    <n v="66"/>
    <s v="Clockwork Cove"/>
    <s v="N"/>
    <m/>
    <s v="Random Scenario"/>
    <m/>
    <x v="1"/>
    <n v="1"/>
    <s v="-"/>
    <s v="G &quot;Ancient Technology&quot;"/>
    <m/>
  </r>
  <r>
    <n v="67"/>
    <s v="Arcane Library"/>
    <s v="N"/>
    <m/>
    <s v="Random Scenario"/>
    <m/>
    <x v="1"/>
    <n v="1"/>
    <s v="-"/>
    <s v="G &quot;Ancient Technology&quot;"/>
    <m/>
  </r>
  <r>
    <n v="68"/>
    <s v="Toxic Moor"/>
    <s v="N"/>
    <m/>
    <s v="Random Scenario"/>
    <m/>
    <x v="1"/>
    <n v="1"/>
    <s v="-"/>
    <s v="-"/>
    <m/>
  </r>
  <r>
    <n v="69"/>
    <s v="Well of the Unfortunate"/>
    <s v="N"/>
    <m/>
    <s v="Random Scenario"/>
    <m/>
    <x v="1"/>
    <n v="1"/>
    <s v="-"/>
    <s v="-"/>
    <m/>
  </r>
  <r>
    <n v="70"/>
    <s v="Chained Isle"/>
    <s v="N"/>
    <m/>
    <s v="Random Scenario"/>
    <m/>
    <x v="1"/>
    <n v="1"/>
    <s v="-"/>
    <s v="-"/>
    <m/>
  </r>
  <r>
    <n v="71"/>
    <s v="Windswept Highlands"/>
    <s v="N"/>
    <m/>
    <s v="Random Scenario"/>
    <m/>
    <x v="1"/>
    <n v="1"/>
    <s v="-"/>
    <s v="-"/>
    <m/>
  </r>
  <r>
    <n v="72"/>
    <s v="Oozing Grove"/>
    <s v="N"/>
    <m/>
    <s v="Town Records"/>
    <s v="-"/>
    <x v="1"/>
    <n v="1"/>
    <s v="-"/>
    <s v="-"/>
    <m/>
  </r>
  <r>
    <n v="73"/>
    <s v="Rockslide Ridge"/>
    <s v="N"/>
    <m/>
    <s v="Town Records"/>
    <s v="-"/>
    <x v="1"/>
    <n v="1"/>
    <s v="-"/>
    <s v="-"/>
    <m/>
  </r>
  <r>
    <n v="74"/>
    <s v="Merchant Ship"/>
    <s v="N"/>
    <m/>
    <s v="-"/>
    <s v="C76"/>
    <x v="1"/>
    <n v="1"/>
    <s v="-"/>
    <s v="-"/>
    <m/>
  </r>
  <r>
    <n v="75"/>
    <s v="Overgrown Graveyard"/>
    <s v="N"/>
    <m/>
    <s v="-"/>
    <s v="C77"/>
    <x v="1"/>
    <n v="1"/>
    <s v="-"/>
    <s v="-"/>
    <m/>
  </r>
  <r>
    <n v="76"/>
    <s v="Harrower Hive"/>
    <s v="N"/>
    <m/>
    <s v="Hidden Envelope"/>
    <m/>
    <x v="1"/>
    <n v="1"/>
    <s v="-"/>
    <s v="-"/>
    <m/>
  </r>
  <r>
    <n v="77"/>
    <s v="Vault of Secrets"/>
    <s v="N"/>
    <m/>
    <s v="Town Records"/>
    <s v="-"/>
    <x v="1"/>
    <n v="1"/>
    <s v="-"/>
    <s v="-"/>
    <m/>
  </r>
  <r>
    <n v="78"/>
    <s v="Sacrifice Pit"/>
    <s v="N"/>
    <m/>
    <s v="-"/>
    <s v="C34"/>
    <x v="1"/>
    <n v="1"/>
    <s v="-"/>
    <s v="-"/>
    <m/>
  </r>
  <r>
    <n v="79"/>
    <s v="Lost Temple"/>
    <s v="N"/>
    <m/>
    <s v="-"/>
    <s v="C72"/>
    <x v="1"/>
    <n v="1"/>
    <s v="-"/>
    <s v="-"/>
    <m/>
  </r>
  <r>
    <n v="80"/>
    <s v="Vigil Keep"/>
    <s v="N"/>
    <m/>
    <s v="-"/>
    <s v="R49"/>
    <x v="1"/>
    <n v="1"/>
    <s v="-"/>
    <s v="-"/>
    <m/>
  </r>
  <r>
    <n v="81"/>
    <s v="Temple of the Eclipse"/>
    <s v="N"/>
    <m/>
    <s v="-"/>
    <s v="C17"/>
    <x v="1"/>
    <n v="1"/>
    <s v="-"/>
    <s v="-"/>
    <m/>
  </r>
  <r>
    <n v="82"/>
    <s v="Burning Mountain"/>
    <s v="N"/>
    <m/>
    <s v="-"/>
    <s v="R24"/>
    <x v="1"/>
    <n v="1"/>
    <s v="-"/>
    <s v="-"/>
    <m/>
  </r>
  <r>
    <n v="83"/>
    <s v="Shadows Within"/>
    <s v="N"/>
    <m/>
    <s v="-"/>
    <s v="C31"/>
    <x v="1"/>
    <n v="1"/>
    <s v="-"/>
    <s v="-"/>
    <m/>
  </r>
  <r>
    <n v="84"/>
    <s v="Crystalline Cave"/>
    <s v="N"/>
    <m/>
    <s v="-"/>
    <s v="C73"/>
    <x v="1"/>
    <n v="1"/>
    <s v="-"/>
    <s v="-"/>
    <m/>
  </r>
  <r>
    <n v="85"/>
    <s v="Sun Temple"/>
    <s v="N"/>
    <m/>
    <s v="-"/>
    <s v="R61, R62"/>
    <x v="1"/>
    <n v="1"/>
    <s v="-"/>
    <s v="-"/>
    <m/>
  </r>
  <r>
    <n v="86"/>
    <s v="Harried Village"/>
    <s v="N"/>
    <m/>
    <s v="-"/>
    <s v="C63"/>
    <x v="1"/>
    <n v="1"/>
    <n v="87"/>
    <s v="P &quot;The Poison's Source&quot;"/>
    <m/>
  </r>
  <r>
    <n v="87"/>
    <s v="Corrupted Cove"/>
    <s v="N"/>
    <m/>
    <n v="86"/>
    <s v="C47"/>
    <x v="1"/>
    <n v="1"/>
    <s v="-"/>
    <s v="-"/>
    <m/>
  </r>
  <r>
    <n v="88"/>
    <s v="Plane of Water"/>
    <s v="N"/>
    <m/>
    <s v="-"/>
    <s v="C68"/>
    <x v="1"/>
    <n v="1"/>
    <s v="-"/>
    <s v="-"/>
    <m/>
  </r>
  <r>
    <n v="89"/>
    <s v="Syndicate Hideout"/>
    <s v="N"/>
    <m/>
    <s v="-"/>
    <s v="C64"/>
    <x v="1"/>
    <n v="1"/>
    <s v="-"/>
    <s v="-"/>
    <m/>
  </r>
  <r>
    <n v="90"/>
    <s v="Demonic Rift"/>
    <s v="N"/>
    <m/>
    <s v="-"/>
    <s v="R44"/>
    <x v="1"/>
    <n v="1"/>
    <s v="-"/>
    <s v="-"/>
    <m/>
  </r>
  <r>
    <n v="91"/>
    <s v="Wild Melee"/>
    <s v="N"/>
    <m/>
    <s v="-"/>
    <s v="C58"/>
    <x v="1"/>
    <n v="1"/>
    <s v="-"/>
    <s v="-"/>
    <m/>
  </r>
  <r>
    <n v="92"/>
    <s v="Back Alley Brawl"/>
    <s v="N"/>
    <m/>
    <s v="-"/>
    <s v="C67"/>
    <x v="1"/>
    <n v="1"/>
    <s v="-"/>
    <s v="-"/>
    <m/>
  </r>
  <r>
    <n v="93"/>
    <s v="Sunken Vessel"/>
    <s v="N"/>
    <m/>
    <s v="-"/>
    <s v="C08"/>
    <x v="1"/>
    <n v="1"/>
    <s v="-"/>
    <s v="-"/>
    <m/>
  </r>
  <r>
    <n v="94"/>
    <s v="Vermling Nest"/>
    <s v="N"/>
    <m/>
    <s v="-"/>
    <s v="C78"/>
    <x v="1"/>
    <n v="1"/>
    <n v="95"/>
    <s v="P &quot;Through the Nest&quot;"/>
    <m/>
  </r>
  <r>
    <n v="95"/>
    <s v="Payment Due"/>
    <s v="N"/>
    <m/>
    <n v="94"/>
    <s v="-"/>
    <x v="1"/>
    <n v="1"/>
    <s v="-"/>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BEC9C8-6A0F-48F1-B1E8-C2A523B20904}" name="PivotTable36"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Complete?">
  <location ref="A2:B5" firstHeaderRow="1" firstDataRow="1" firstDataCol="1"/>
  <pivotFields count="11">
    <pivotField showAll="0"/>
    <pivotField showAll="0"/>
    <pivotField showAll="0"/>
    <pivotField showAll="0"/>
    <pivotField showAll="0"/>
    <pivotField showAll="0"/>
    <pivotField axis="axisRow" showAll="0">
      <items count="4">
        <item h="1" m="1" x="2"/>
        <item x="1"/>
        <item x="0"/>
        <item t="default"/>
      </items>
    </pivotField>
    <pivotField dataField="1" showAll="0"/>
    <pivotField showAll="0"/>
    <pivotField showAll="0"/>
    <pivotField showAll="0"/>
  </pivotFields>
  <rowFields count="1">
    <field x="6"/>
  </rowFields>
  <rowItems count="3">
    <i>
      <x v="1"/>
    </i>
    <i>
      <x v="2"/>
    </i>
    <i t="grand">
      <x/>
    </i>
  </rowItems>
  <colItems count="1">
    <i/>
  </colItems>
  <dataFields count="1">
    <dataField name="Quantity" fld="7" baseField="6" baseItem="0"/>
  </dataFields>
  <formats count="18">
    <format dxfId="35">
      <pivotArea type="all" dataOnly="0" outline="0" fieldPosition="0"/>
    </format>
    <format dxfId="34">
      <pivotArea outline="0" collapsedLevelsAreSubtotals="1" fieldPosition="0"/>
    </format>
    <format dxfId="33">
      <pivotArea field="6" type="button" dataOnly="0" labelOnly="1" outline="0" axis="axisRow" fieldPosition="0"/>
    </format>
    <format dxfId="32">
      <pivotArea dataOnly="0" labelOnly="1" fieldPosition="0">
        <references count="1">
          <reference field="6" count="0"/>
        </references>
      </pivotArea>
    </format>
    <format dxfId="31">
      <pivotArea dataOnly="0" labelOnly="1" grandRow="1" outline="0"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field="6" type="button" dataOnly="0" labelOnly="1" outline="0" axis="axisRow" fieldPosition="0"/>
    </format>
    <format dxfId="26">
      <pivotArea dataOnly="0" labelOnly="1" fieldPosition="0">
        <references count="1">
          <reference field="6" count="0"/>
        </references>
      </pivotArea>
    </format>
    <format dxfId="25">
      <pivotArea dataOnly="0" labelOnly="1" grandRow="1" outline="0" fieldPosition="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field="6" type="button" dataOnly="0" labelOnly="1" outline="0" axis="axisRow" fieldPosition="0"/>
    </format>
    <format dxfId="20">
      <pivotArea dataOnly="0" labelOnly="1" fieldPosition="0">
        <references count="1">
          <reference field="6" count="0"/>
        </references>
      </pivotArea>
    </format>
    <format dxfId="19">
      <pivotArea dataOnly="0" labelOnly="1" grandRow="1" outline="0" fieldPosition="0"/>
    </format>
    <format dxfId="18">
      <pivotArea dataOnly="0" labelOnly="1" outline="0" axis="axisValues" fieldPosition="0"/>
    </format>
  </formats>
  <chartFormats count="3">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6" count="1" selected="0">
            <x v="1"/>
          </reference>
        </references>
      </pivotArea>
    </chartFormat>
    <chartFormat chart="6" format="2">
      <pivotArea type="data" outline="0" fieldPosition="0">
        <references count="2">
          <reference field="4294967294" count="1" selected="0">
            <x v="0"/>
          </reference>
          <reference field="6" count="1" selected="0">
            <x v="2"/>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en" xr10:uid="{0C9F6C82-4B1F-4AA0-A0E8-54F73149D750}" sourceName="Unlocked?">
  <extLst>
    <x:ext xmlns:x15="http://schemas.microsoft.com/office/spreadsheetml/2010/11/main" uri="{2F2917AC-EB37-4324-AD4E-5DD8C200BD13}">
      <x15:tableSlicerCache tableId="1" column="9"/>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letion" xr10:uid="{32D7338D-49EE-4AB1-8B7E-BEF3B17C486F}" sourceName="Complete?">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locked?" xr10:uid="{B712BE7C-229C-4423-A512-A81487CDDC60}" cache="Slicer_Seen" caption="Unlocked?" style="SlicerStyleLight2" rowHeight="234950"/>
  <slicer name="Complete?" xr10:uid="{6BCC9766-4A57-4F20-85D6-44E5FFC91ED5}" cache="Slicer_Completion" caption="Complete?" style="SlicerStyleLigh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B105C9-692A-4A53-8608-FFADB37FA977}" name="Table1" displayName="Table1" ref="A4:K100" totalsRowShown="0" headerRowDxfId="51" dataDxfId="49" headerRowBorderDxfId="50" tableBorderDxfId="48" totalsRowBorderDxfId="47" headerRowCellStyle="Normal" dataCellStyle="Normal">
  <autoFilter ref="A4:K100" xr:uid="{D3DF3479-49C2-4A79-B02B-2D056575EFD5}">
    <filterColumn colId="2">
      <filters>
        <filter val="Y"/>
      </filters>
    </filterColumn>
  </autoFilter>
  <tableColumns count="11">
    <tableColumn id="1" xr3:uid="{CDB5EAAD-9C86-4EC7-9A45-99E01CBF288B}" name="Unlocked Scenario" dataDxfId="46" dataCellStyle="Normal"/>
    <tableColumn id="6" xr3:uid="{A2006BA5-4600-41E9-B0C5-118E1A270DBB}" name="Name" dataDxfId="45"/>
    <tableColumn id="9" xr3:uid="{B2D6602E-F194-4744-B3D9-D816F07BFA28}" name="Unlocked?" dataDxfId="44" dataCellStyle="Normal">
      <calculatedColumnFormula>if</calculatedColumnFormula>
    </tableColumn>
    <tableColumn id="12" xr3:uid="{43CDAB94-C644-4467-9B5D-D201BE53BC77}" name="Meet Requirements?" dataDxfId="43"/>
    <tableColumn id="2" xr3:uid="{A959E3C5-0EBC-4C3F-B972-04A205025280}" name="Scenario" dataDxfId="42" dataCellStyle="Normal"/>
    <tableColumn id="3" xr3:uid="{BAAFD4EA-36A0-4D92-8079-74F2B486FB06}" name="Event (City/Road)" dataDxfId="41" dataCellStyle="Normal"/>
    <tableColumn id="7" xr3:uid="{9FA210F5-014D-464A-A959-BA282C4C2A71}" name="Complete?" dataDxfId="40" dataCellStyle="Normal"/>
    <tableColumn id="14" xr3:uid="{D0A6B6ED-827A-4981-A755-23D6E27F55CB}" name="Count" dataDxfId="39"/>
    <tableColumn id="4" xr3:uid="{5A380E6B-85BE-4E87-9603-F27D8EB29988}" name="Unlocks" dataDxfId="38" dataCellStyle="Normal"/>
    <tableColumn id="5" xr3:uid="{5DDF28CC-6B0D-46A4-A29B-903B17CB3658}" name="Achievement (Global/Party)" dataDxfId="37" dataCellStyle="Normal"/>
    <tableColumn id="10" xr3:uid="{7547E0ED-1EBA-4BA4-ABCA-22B55701F4C4}" name="Treasure Looted" dataDxfId="36" dataCellStyle="Normal"/>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142EB-88C8-4644-873A-3FDA069A12F3}">
  <sheetPr codeName="Sheet1">
    <pageSetUpPr fitToPage="1"/>
  </sheetPr>
  <dimension ref="A3:K105"/>
  <sheetViews>
    <sheetView tabSelected="1" zoomScale="130" zoomScaleNormal="130" workbookViewId="0">
      <pane xSplit="1" topLeftCell="B1" activePane="topRight" state="frozen"/>
      <selection activeCell="F19" sqref="F19"/>
      <selection pane="topRight" activeCell="C70" sqref="C70"/>
    </sheetView>
  </sheetViews>
  <sheetFormatPr baseColWidth="10" defaultColWidth="8.83203125" defaultRowHeight="15" x14ac:dyDescent="0.2"/>
  <cols>
    <col min="1" max="1" width="11.6640625" style="6" customWidth="1"/>
    <col min="2" max="2" width="23.5" style="6" bestFit="1" customWidth="1"/>
    <col min="3" max="3" width="7.83203125" style="6" customWidth="1"/>
    <col min="4" max="4" width="12.33203125" style="6" customWidth="1"/>
    <col min="5" max="5" width="12.83203125" style="6" customWidth="1"/>
    <col min="6" max="6" width="16.5" style="6" customWidth="1"/>
    <col min="7" max="7" width="11.33203125" style="6" customWidth="1"/>
    <col min="8" max="8" width="11.33203125" style="6" hidden="1" customWidth="1"/>
    <col min="9" max="9" width="15.83203125" style="6" customWidth="1"/>
    <col min="10" max="10" width="45.6640625" style="6" bestFit="1" customWidth="1"/>
    <col min="11" max="16384" width="8.83203125" style="6"/>
  </cols>
  <sheetData>
    <row r="3" spans="1:11" ht="21.5" customHeight="1" thickBot="1" x14ac:dyDescent="0.25">
      <c r="E3" s="27" t="s">
        <v>14</v>
      </c>
      <c r="F3" s="28"/>
    </row>
    <row r="4" spans="1:11" s="11" customFormat="1" ht="34" thickTop="1" thickBot="1" x14ac:dyDescent="0.25">
      <c r="A4" s="7" t="s">
        <v>6</v>
      </c>
      <c r="B4" s="7" t="s">
        <v>70</v>
      </c>
      <c r="C4" s="8" t="s">
        <v>165</v>
      </c>
      <c r="D4" s="8" t="s">
        <v>44</v>
      </c>
      <c r="E4" s="7" t="s">
        <v>0</v>
      </c>
      <c r="F4" s="9" t="s">
        <v>1</v>
      </c>
      <c r="G4" s="9" t="s">
        <v>43</v>
      </c>
      <c r="H4" s="9" t="s">
        <v>203</v>
      </c>
      <c r="I4" s="9" t="s">
        <v>7</v>
      </c>
      <c r="J4" s="10" t="s">
        <v>9</v>
      </c>
      <c r="K4" s="9" t="s">
        <v>37</v>
      </c>
    </row>
    <row r="5" spans="1:11" x14ac:dyDescent="0.2">
      <c r="A5" s="12" t="s">
        <v>11</v>
      </c>
      <c r="B5" s="13" t="s">
        <v>8</v>
      </c>
      <c r="C5" s="13" t="s">
        <v>13</v>
      </c>
      <c r="D5" s="13" t="s">
        <v>8</v>
      </c>
      <c r="E5" s="14" t="s">
        <v>8</v>
      </c>
      <c r="F5" s="14" t="s">
        <v>8</v>
      </c>
      <c r="G5" s="26" t="s">
        <v>13</v>
      </c>
      <c r="H5" s="14"/>
      <c r="I5" s="14">
        <v>1</v>
      </c>
      <c r="J5" s="14" t="s">
        <v>12</v>
      </c>
      <c r="K5" s="14" t="s">
        <v>8</v>
      </c>
    </row>
    <row r="6" spans="1:11" x14ac:dyDescent="0.2">
      <c r="A6" s="15">
        <v>1</v>
      </c>
      <c r="B6" s="16" t="s">
        <v>71</v>
      </c>
      <c r="C6" s="16" t="str">
        <f>IF(G5 = "Y", "Y", "N")</f>
        <v>Y</v>
      </c>
      <c r="D6" s="3"/>
      <c r="E6" s="17" t="s">
        <v>8</v>
      </c>
      <c r="F6" s="17" t="s">
        <v>8</v>
      </c>
      <c r="G6" s="26" t="s">
        <v>13</v>
      </c>
      <c r="H6" s="14">
        <v>1</v>
      </c>
      <c r="I6" s="17">
        <v>2</v>
      </c>
      <c r="J6" s="17" t="s">
        <v>10</v>
      </c>
      <c r="K6" s="4"/>
    </row>
    <row r="7" spans="1:11" x14ac:dyDescent="0.2">
      <c r="A7" s="15">
        <v>2</v>
      </c>
      <c r="B7" s="16" t="s">
        <v>72</v>
      </c>
      <c r="C7" s="16" t="str">
        <f>IF(G6 = "Y", "Y", "N")</f>
        <v>Y</v>
      </c>
      <c r="D7" s="3"/>
      <c r="E7" s="17">
        <v>1</v>
      </c>
      <c r="F7" s="17" t="s">
        <v>8</v>
      </c>
      <c r="G7" s="26" t="s">
        <v>13</v>
      </c>
      <c r="H7" s="14">
        <v>1</v>
      </c>
      <c r="I7" s="17" t="s">
        <v>15</v>
      </c>
      <c r="J7" s="17" t="s">
        <v>8</v>
      </c>
      <c r="K7" s="4"/>
    </row>
    <row r="8" spans="1:11" x14ac:dyDescent="0.2">
      <c r="A8" s="15">
        <v>3</v>
      </c>
      <c r="B8" s="16" t="s">
        <v>73</v>
      </c>
      <c r="C8" s="16" t="str">
        <f>IF(G7 = "Y", "Y", "N")</f>
        <v>Y</v>
      </c>
      <c r="D8" s="16" t="str">
        <f>IF(G13 = "Y", "N", "")</f>
        <v/>
      </c>
      <c r="E8" s="17">
        <v>2</v>
      </c>
      <c r="F8" s="17" t="s">
        <v>8</v>
      </c>
      <c r="G8" s="26" t="s">
        <v>13</v>
      </c>
      <c r="H8" s="14">
        <v>1</v>
      </c>
      <c r="I8" s="17" t="s">
        <v>16</v>
      </c>
      <c r="J8" s="17" t="s">
        <v>17</v>
      </c>
      <c r="K8" s="4"/>
    </row>
    <row r="9" spans="1:11" x14ac:dyDescent="0.2">
      <c r="A9" s="15">
        <v>4</v>
      </c>
      <c r="B9" s="16" t="s">
        <v>74</v>
      </c>
      <c r="C9" s="16" t="str">
        <f>IF(G7 = "Y", "Y", "N")</f>
        <v>Y</v>
      </c>
      <c r="D9" s="3"/>
      <c r="E9" s="17">
        <v>2</v>
      </c>
      <c r="F9" s="17" t="s">
        <v>8</v>
      </c>
      <c r="G9" s="26" t="s">
        <v>206</v>
      </c>
      <c r="H9" s="14">
        <v>1</v>
      </c>
      <c r="I9" s="17" t="s">
        <v>18</v>
      </c>
      <c r="J9" s="17" t="s">
        <v>8</v>
      </c>
      <c r="K9" s="4"/>
    </row>
    <row r="10" spans="1:11" hidden="1" x14ac:dyDescent="0.2">
      <c r="A10" s="15">
        <v>5</v>
      </c>
      <c r="B10" s="16" t="s">
        <v>75</v>
      </c>
      <c r="C10" s="16" t="str">
        <f>IF(G9 = "Y", "Y", "N")</f>
        <v>N</v>
      </c>
      <c r="D10" s="3"/>
      <c r="E10" s="17">
        <v>4</v>
      </c>
      <c r="F10" s="17" t="s">
        <v>8</v>
      </c>
      <c r="G10" s="26" t="s">
        <v>206</v>
      </c>
      <c r="H10" s="14">
        <v>1</v>
      </c>
      <c r="I10" s="17" t="s">
        <v>19</v>
      </c>
      <c r="J10" s="17" t="s">
        <v>8</v>
      </c>
      <c r="K10" s="4"/>
    </row>
    <row r="11" spans="1:11" hidden="1" x14ac:dyDescent="0.2">
      <c r="A11" s="15">
        <v>6</v>
      </c>
      <c r="B11" s="16" t="s">
        <v>77</v>
      </c>
      <c r="C11" s="16" t="str">
        <f>IF(G9 = "Y", "Y", "N")</f>
        <v>N</v>
      </c>
      <c r="D11" s="3"/>
      <c r="E11" s="17">
        <v>4</v>
      </c>
      <c r="F11" s="17" t="s">
        <v>8</v>
      </c>
      <c r="G11" s="26" t="s">
        <v>206</v>
      </c>
      <c r="H11" s="14">
        <v>1</v>
      </c>
      <c r="I11" s="17">
        <v>8</v>
      </c>
      <c r="J11" s="17" t="s">
        <v>35</v>
      </c>
      <c r="K11" s="4"/>
    </row>
    <row r="12" spans="1:11" hidden="1" x14ac:dyDescent="0.2">
      <c r="A12" s="15">
        <v>7</v>
      </c>
      <c r="B12" s="16" t="s">
        <v>209</v>
      </c>
      <c r="C12" s="16" t="str">
        <f>IF(G13 = "Y", "Y", "N")</f>
        <v>N</v>
      </c>
      <c r="D12" s="3"/>
      <c r="E12" s="17">
        <v>8</v>
      </c>
      <c r="F12" s="17" t="s">
        <v>8</v>
      </c>
      <c r="G12" s="26" t="s">
        <v>206</v>
      </c>
      <c r="H12" s="14">
        <v>1</v>
      </c>
      <c r="I12" s="17">
        <v>20</v>
      </c>
      <c r="J12" s="17" t="s">
        <v>8</v>
      </c>
      <c r="K12" s="4"/>
    </row>
    <row r="13" spans="1:11" x14ac:dyDescent="0.2">
      <c r="A13" s="15">
        <v>8</v>
      </c>
      <c r="B13" s="16" t="s">
        <v>76</v>
      </c>
      <c r="C13" s="16" t="str">
        <f>IF(OR(G8 = "Y", G11 = "Y"), "Y", "N")</f>
        <v>Y</v>
      </c>
      <c r="D13" s="16" t="str">
        <f>IF(G14 = "Y", "N", "")</f>
        <v/>
      </c>
      <c r="E13" s="17" t="s">
        <v>20</v>
      </c>
      <c r="F13" s="17" t="s">
        <v>8</v>
      </c>
      <c r="G13" s="26" t="s">
        <v>206</v>
      </c>
      <c r="H13" s="14">
        <v>1</v>
      </c>
      <c r="I13" s="17" t="s">
        <v>21</v>
      </c>
      <c r="J13" s="17" t="s">
        <v>22</v>
      </c>
      <c r="K13" s="4"/>
    </row>
    <row r="14" spans="1:11" x14ac:dyDescent="0.2">
      <c r="A14" s="15">
        <v>9</v>
      </c>
      <c r="B14" s="16" t="s">
        <v>78</v>
      </c>
      <c r="C14" s="16" t="str">
        <f>IF(G8 = "Y", "Y", "N")</f>
        <v>Y</v>
      </c>
      <c r="D14" s="16" t="str">
        <f>IF(G13 = "Y", "N", "")</f>
        <v/>
      </c>
      <c r="E14" s="17">
        <v>3</v>
      </c>
      <c r="F14" s="17" t="s">
        <v>8</v>
      </c>
      <c r="G14" s="26" t="s">
        <v>206</v>
      </c>
      <c r="H14" s="14">
        <v>1</v>
      </c>
      <c r="I14" s="17" t="s">
        <v>197</v>
      </c>
      <c r="J14" s="17" t="s">
        <v>198</v>
      </c>
      <c r="K14" s="4"/>
    </row>
    <row r="15" spans="1:11" hidden="1" x14ac:dyDescent="0.2">
      <c r="A15" s="15">
        <v>10</v>
      </c>
      <c r="B15" s="16" t="s">
        <v>79</v>
      </c>
      <c r="C15" s="16" t="str">
        <f>IF(G10 = "Y", "Y", "N")</f>
        <v>N</v>
      </c>
      <c r="D15" s="16" t="str">
        <f>IF(OR(G26 = "Y", G32 = "Y", G41 = "Y"), "N", "")</f>
        <v/>
      </c>
      <c r="E15" s="17">
        <v>5</v>
      </c>
      <c r="F15" s="17" t="s">
        <v>8</v>
      </c>
      <c r="G15" s="26" t="s">
        <v>206</v>
      </c>
      <c r="H15" s="14">
        <v>1</v>
      </c>
      <c r="I15" s="17" t="s">
        <v>23</v>
      </c>
      <c r="J15" s="17" t="s">
        <v>24</v>
      </c>
      <c r="K15" s="4"/>
    </row>
    <row r="16" spans="1:11" hidden="1" x14ac:dyDescent="0.2">
      <c r="A16" s="15">
        <v>11</v>
      </c>
      <c r="B16" s="16" t="s">
        <v>80</v>
      </c>
      <c r="C16" s="16" t="str">
        <f>IF(G14 = "Y", "Y", "N")</f>
        <v>N</v>
      </c>
      <c r="D16" s="16" t="str">
        <f>IF(G17 = "Y", "N", "")</f>
        <v/>
      </c>
      <c r="E16" s="17">
        <v>9</v>
      </c>
      <c r="F16" s="17"/>
      <c r="G16" s="26" t="s">
        <v>206</v>
      </c>
      <c r="H16" s="14">
        <v>1</v>
      </c>
      <c r="I16" s="17" t="s">
        <v>167</v>
      </c>
      <c r="J16" s="17" t="s">
        <v>168</v>
      </c>
      <c r="K16" s="4"/>
    </row>
    <row r="17" spans="1:11" hidden="1" x14ac:dyDescent="0.2">
      <c r="A17" s="15">
        <v>12</v>
      </c>
      <c r="B17" s="16" t="s">
        <v>81</v>
      </c>
      <c r="C17" s="16" t="str">
        <f>IF(G14 = "Y", "Y", "N")</f>
        <v>N</v>
      </c>
      <c r="D17" s="16" t="str">
        <f>IF(G16 = "Y", "N", "")</f>
        <v/>
      </c>
      <c r="E17" s="17">
        <v>9</v>
      </c>
      <c r="F17" s="17"/>
      <c r="G17" s="26" t="s">
        <v>206</v>
      </c>
      <c r="H17" s="14">
        <v>1</v>
      </c>
      <c r="I17" s="17" t="s">
        <v>28</v>
      </c>
      <c r="J17" s="17" t="s">
        <v>169</v>
      </c>
      <c r="K17" s="4"/>
    </row>
    <row r="18" spans="1:11" hidden="1" x14ac:dyDescent="0.2">
      <c r="A18" s="15">
        <v>13</v>
      </c>
      <c r="B18" s="16" t="s">
        <v>82</v>
      </c>
      <c r="C18" s="16" t="str">
        <f>IF(G13 = "Y", "Y", "N")</f>
        <v>N</v>
      </c>
      <c r="D18" s="3"/>
      <c r="E18" s="17">
        <v>8</v>
      </c>
      <c r="F18" s="17" t="s">
        <v>8</v>
      </c>
      <c r="G18" s="26" t="s">
        <v>206</v>
      </c>
      <c r="H18" s="14">
        <v>1</v>
      </c>
      <c r="I18" s="21" t="s">
        <v>210</v>
      </c>
      <c r="J18" s="17" t="s">
        <v>8</v>
      </c>
      <c r="K18" s="4"/>
    </row>
    <row r="19" spans="1:11" hidden="1" x14ac:dyDescent="0.2">
      <c r="A19" s="15">
        <v>14</v>
      </c>
      <c r="B19" s="16" t="s">
        <v>83</v>
      </c>
      <c r="C19" s="16" t="str">
        <f>IF(OR((G10 = "Y"), (G13 = "Y"), (G23 = "Y")), "Y", "N")</f>
        <v>N</v>
      </c>
      <c r="D19" s="3"/>
      <c r="E19" s="17" t="s">
        <v>40</v>
      </c>
      <c r="F19" s="17" t="s">
        <v>8</v>
      </c>
      <c r="G19" s="26" t="s">
        <v>206</v>
      </c>
      <c r="H19" s="14">
        <v>1</v>
      </c>
      <c r="I19" s="17" t="s">
        <v>8</v>
      </c>
      <c r="J19" s="17" t="s">
        <v>26</v>
      </c>
      <c r="K19" s="4"/>
    </row>
    <row r="20" spans="1:11" hidden="1" x14ac:dyDescent="0.2">
      <c r="A20" s="15">
        <v>15</v>
      </c>
      <c r="B20" s="16" t="s">
        <v>84</v>
      </c>
      <c r="C20" s="5" t="str">
        <f>IF(G44 = "Y", "Y", "N")</f>
        <v>N</v>
      </c>
      <c r="D20" s="3"/>
      <c r="E20" s="17" t="s">
        <v>208</v>
      </c>
      <c r="F20" s="17" t="s">
        <v>8</v>
      </c>
      <c r="G20" s="26" t="s">
        <v>206</v>
      </c>
      <c r="H20" s="14">
        <v>1</v>
      </c>
      <c r="I20" s="17" t="s">
        <v>8</v>
      </c>
      <c r="J20" s="17" t="s">
        <v>8</v>
      </c>
      <c r="K20" s="4"/>
    </row>
    <row r="21" spans="1:11" hidden="1" x14ac:dyDescent="0.2">
      <c r="A21" s="15">
        <v>16</v>
      </c>
      <c r="B21" s="16" t="s">
        <v>85</v>
      </c>
      <c r="C21" s="16" t="str">
        <f>IF(OR(G16 = "Y", G17 = "Y", G25 = "Y"), "Y", "N")</f>
        <v>N</v>
      </c>
      <c r="D21" s="3"/>
      <c r="E21" s="17" t="s">
        <v>183</v>
      </c>
      <c r="F21" s="17" t="s">
        <v>8</v>
      </c>
      <c r="G21" s="26" t="s">
        <v>206</v>
      </c>
      <c r="H21" s="14">
        <v>1</v>
      </c>
      <c r="I21" s="18" t="s">
        <v>36</v>
      </c>
      <c r="J21" s="18" t="s">
        <v>8</v>
      </c>
      <c r="K21" s="4"/>
    </row>
    <row r="22" spans="1:11" hidden="1" x14ac:dyDescent="0.2">
      <c r="A22" s="15">
        <v>17</v>
      </c>
      <c r="B22" s="16" t="s">
        <v>86</v>
      </c>
      <c r="C22" s="5" t="s">
        <v>206</v>
      </c>
      <c r="D22" s="3"/>
      <c r="E22" s="19" t="s">
        <v>207</v>
      </c>
      <c r="F22" s="17"/>
      <c r="G22" s="26" t="s">
        <v>206</v>
      </c>
      <c r="H22" s="14">
        <v>1</v>
      </c>
      <c r="I22" s="17" t="s">
        <v>8</v>
      </c>
      <c r="J22" s="17" t="s">
        <v>8</v>
      </c>
      <c r="K22" s="4"/>
    </row>
    <row r="23" spans="1:11" hidden="1" x14ac:dyDescent="0.2">
      <c r="A23" s="15">
        <v>18</v>
      </c>
      <c r="B23" s="16" t="s">
        <v>87</v>
      </c>
      <c r="C23" s="16" t="str">
        <f>IF(OR(G16 = "Y", G17 = "Y", G25 = "Y"), "Y", "N")</f>
        <v>N</v>
      </c>
      <c r="D23" s="3"/>
      <c r="E23" s="17" t="s">
        <v>183</v>
      </c>
      <c r="F23" s="17" t="s">
        <v>8</v>
      </c>
      <c r="G23" s="26" t="s">
        <v>206</v>
      </c>
      <c r="H23" s="14">
        <v>1</v>
      </c>
      <c r="I23" s="17" t="s">
        <v>39</v>
      </c>
      <c r="J23" s="17" t="s">
        <v>8</v>
      </c>
      <c r="K23" s="4"/>
    </row>
    <row r="24" spans="1:11" hidden="1" x14ac:dyDescent="0.2">
      <c r="A24" s="15">
        <v>19</v>
      </c>
      <c r="B24" s="16" t="s">
        <v>88</v>
      </c>
      <c r="C24" s="16" t="str">
        <f>IF(G10 = "Y", "Y", "N")</f>
        <v>N</v>
      </c>
      <c r="D24" s="3"/>
      <c r="E24" s="17">
        <v>5</v>
      </c>
      <c r="F24" s="17" t="s">
        <v>8</v>
      </c>
      <c r="G24" s="26" t="s">
        <v>206</v>
      </c>
      <c r="H24" s="14">
        <v>1</v>
      </c>
      <c r="I24" s="17">
        <v>27</v>
      </c>
      <c r="J24" s="17" t="s">
        <v>27</v>
      </c>
      <c r="K24" s="4"/>
    </row>
    <row r="25" spans="1:11" hidden="1" x14ac:dyDescent="0.2">
      <c r="A25" s="15">
        <v>20</v>
      </c>
      <c r="B25" s="20" t="s">
        <v>89</v>
      </c>
      <c r="C25" s="5" t="str">
        <f>IF(G12 = "Y", "Y", "N")</f>
        <v>N</v>
      </c>
      <c r="D25" s="3"/>
      <c r="E25" s="17" t="s">
        <v>25</v>
      </c>
      <c r="F25" s="17" t="s">
        <v>8</v>
      </c>
      <c r="G25" s="26" t="s">
        <v>206</v>
      </c>
      <c r="H25" s="14">
        <v>1</v>
      </c>
      <c r="I25" s="17" t="s">
        <v>28</v>
      </c>
      <c r="J25" s="17" t="s">
        <v>8</v>
      </c>
      <c r="K25" s="4"/>
    </row>
    <row r="26" spans="1:11" hidden="1" x14ac:dyDescent="0.2">
      <c r="A26" s="15">
        <v>21</v>
      </c>
      <c r="B26" s="16" t="s">
        <v>90</v>
      </c>
      <c r="C26" s="16" t="str">
        <f>IF(G15 = "Y", "Y", "N")</f>
        <v>N</v>
      </c>
      <c r="D26" s="16" t="str">
        <f>IF(OR(G32 = "Y", G41 = "Y"), "N", "")</f>
        <v/>
      </c>
      <c r="E26" s="17">
        <v>10</v>
      </c>
      <c r="F26" s="17" t="s">
        <v>8</v>
      </c>
      <c r="G26" s="26" t="s">
        <v>206</v>
      </c>
      <c r="H26" s="14">
        <v>1</v>
      </c>
      <c r="I26" s="17" t="s">
        <v>8</v>
      </c>
      <c r="J26" s="17" t="s">
        <v>201</v>
      </c>
      <c r="K26" s="4"/>
    </row>
    <row r="27" spans="1:11" hidden="1" x14ac:dyDescent="0.2">
      <c r="A27" s="15">
        <v>22</v>
      </c>
      <c r="B27" s="16" t="s">
        <v>91</v>
      </c>
      <c r="C27" s="16" t="str">
        <f>IF(OR(G15 = "Y", G31 = "Y"), "Y", "N")</f>
        <v>N</v>
      </c>
      <c r="D27" s="3"/>
      <c r="E27" s="17" t="s">
        <v>46</v>
      </c>
      <c r="F27" s="17" t="s">
        <v>8</v>
      </c>
      <c r="G27" s="26" t="s">
        <v>206</v>
      </c>
      <c r="H27" s="14">
        <v>1</v>
      </c>
      <c r="I27" s="17" t="s">
        <v>47</v>
      </c>
      <c r="J27" s="17" t="s">
        <v>48</v>
      </c>
      <c r="K27" s="4"/>
    </row>
    <row r="28" spans="1:11" hidden="1" x14ac:dyDescent="0.2">
      <c r="A28" s="15">
        <v>23</v>
      </c>
      <c r="B28" s="16" t="s">
        <v>92</v>
      </c>
      <c r="C28" s="16" t="str">
        <f>IF(G23 = "Y", "Y", "N")</f>
        <v>N</v>
      </c>
      <c r="D28" s="3"/>
      <c r="E28" s="17">
        <v>18</v>
      </c>
      <c r="F28" s="17" t="s">
        <v>8</v>
      </c>
      <c r="G28" s="26" t="s">
        <v>206</v>
      </c>
      <c r="H28" s="14">
        <v>1</v>
      </c>
      <c r="I28" s="17" t="s">
        <v>8</v>
      </c>
      <c r="J28" s="17" t="s">
        <v>50</v>
      </c>
      <c r="K28" s="4"/>
    </row>
    <row r="29" spans="1:11" hidden="1" x14ac:dyDescent="0.2">
      <c r="A29" s="15">
        <v>24</v>
      </c>
      <c r="B29" s="16" t="s">
        <v>93</v>
      </c>
      <c r="C29" s="16" t="str">
        <f>IF(G21 = "Y", "Y", "N")</f>
        <v>N</v>
      </c>
      <c r="D29" s="3"/>
      <c r="E29" s="17">
        <v>16</v>
      </c>
      <c r="F29" s="17" t="s">
        <v>8</v>
      </c>
      <c r="G29" s="26" t="s">
        <v>206</v>
      </c>
      <c r="H29" s="14">
        <v>1</v>
      </c>
      <c r="I29" s="17" t="s">
        <v>58</v>
      </c>
      <c r="J29" s="17" t="s">
        <v>59</v>
      </c>
      <c r="K29" s="4"/>
    </row>
    <row r="30" spans="1:11" hidden="1" x14ac:dyDescent="0.2">
      <c r="A30" s="15">
        <v>25</v>
      </c>
      <c r="B30" s="16" t="s">
        <v>94</v>
      </c>
      <c r="C30" s="16" t="str">
        <f>IF(G21 = "Y", "Y", "N")</f>
        <v>N</v>
      </c>
      <c r="D30" s="3"/>
      <c r="E30" s="17">
        <v>16</v>
      </c>
      <c r="F30" s="17" t="s">
        <v>8</v>
      </c>
      <c r="G30" s="26" t="s">
        <v>206</v>
      </c>
      <c r="H30" s="14">
        <v>1</v>
      </c>
      <c r="I30" s="17" t="s">
        <v>170</v>
      </c>
      <c r="J30" s="17" t="s">
        <v>171</v>
      </c>
      <c r="K30" s="4"/>
    </row>
    <row r="31" spans="1:11" hidden="1" x14ac:dyDescent="0.2">
      <c r="A31" s="15">
        <v>26</v>
      </c>
      <c r="B31" s="16" t="s">
        <v>97</v>
      </c>
      <c r="C31" s="16" t="str">
        <f>IF(G23 = "Y", "Y", "N")</f>
        <v>N</v>
      </c>
      <c r="D31" s="3"/>
      <c r="E31" s="17">
        <v>18</v>
      </c>
      <c r="F31" s="17" t="s">
        <v>8</v>
      </c>
      <c r="G31" s="26" t="s">
        <v>206</v>
      </c>
      <c r="H31" s="14">
        <v>1</v>
      </c>
      <c r="I31" s="17">
        <v>22</v>
      </c>
      <c r="J31" s="17" t="s">
        <v>45</v>
      </c>
      <c r="K31" s="4"/>
    </row>
    <row r="32" spans="1:11" hidden="1" x14ac:dyDescent="0.2">
      <c r="A32" s="15">
        <v>27</v>
      </c>
      <c r="B32" s="16" t="s">
        <v>95</v>
      </c>
      <c r="C32" s="16" t="str">
        <f>IF(G24 = "Y", "Y", "N")</f>
        <v>N</v>
      </c>
      <c r="D32" s="16" t="str">
        <f>IF(G40 = "Y", "N", "")</f>
        <v/>
      </c>
      <c r="E32" s="17">
        <v>19</v>
      </c>
      <c r="F32" s="17" t="s">
        <v>8</v>
      </c>
      <c r="G32" s="26" t="s">
        <v>206</v>
      </c>
      <c r="H32" s="14">
        <v>1</v>
      </c>
      <c r="I32" s="17" t="s">
        <v>8</v>
      </c>
      <c r="J32" s="17" t="s">
        <v>29</v>
      </c>
      <c r="K32" s="4"/>
    </row>
    <row r="33" spans="1:11" hidden="1" x14ac:dyDescent="0.2">
      <c r="A33" s="15">
        <v>28</v>
      </c>
      <c r="B33" s="16" t="s">
        <v>96</v>
      </c>
      <c r="C33" s="16" t="str">
        <f>IF(OR(G17 = "Y", G25 = "Y"), "Y", "N")</f>
        <v>N</v>
      </c>
      <c r="D33" s="3"/>
      <c r="E33" s="17" t="s">
        <v>184</v>
      </c>
      <c r="F33" s="17" t="s">
        <v>8</v>
      </c>
      <c r="G33" s="26" t="s">
        <v>206</v>
      </c>
      <c r="H33" s="14">
        <v>1</v>
      </c>
      <c r="I33" s="17">
        <v>29</v>
      </c>
      <c r="J33" s="17" t="s">
        <v>30</v>
      </c>
      <c r="K33" s="4"/>
    </row>
    <row r="34" spans="1:11" hidden="1" x14ac:dyDescent="0.2">
      <c r="A34" s="15">
        <v>29</v>
      </c>
      <c r="B34" s="16" t="s">
        <v>98</v>
      </c>
      <c r="C34" s="16" t="str">
        <f>IF(G33 = "Y", "Y", "N")</f>
        <v>N</v>
      </c>
      <c r="D34" s="3"/>
      <c r="E34" s="17">
        <v>28</v>
      </c>
      <c r="F34" s="17" t="s">
        <v>8</v>
      </c>
      <c r="G34" s="26" t="s">
        <v>206</v>
      </c>
      <c r="H34" s="14">
        <v>1</v>
      </c>
      <c r="I34" s="17" t="s">
        <v>8</v>
      </c>
      <c r="J34" s="17" t="s">
        <v>49</v>
      </c>
      <c r="K34" s="4"/>
    </row>
    <row r="35" spans="1:11" hidden="1" x14ac:dyDescent="0.2">
      <c r="A35" s="15">
        <v>30</v>
      </c>
      <c r="B35" s="16" t="s">
        <v>99</v>
      </c>
      <c r="C35" s="16" t="str">
        <f>IF(G29 = "Y", "Y", "N")</f>
        <v>N</v>
      </c>
      <c r="D35" s="3"/>
      <c r="E35" s="17">
        <v>24</v>
      </c>
      <c r="F35" s="17" t="s">
        <v>8</v>
      </c>
      <c r="G35" s="26" t="s">
        <v>206</v>
      </c>
      <c r="H35" s="14">
        <v>1</v>
      </c>
      <c r="I35" s="17">
        <v>42</v>
      </c>
      <c r="J35" s="17" t="s">
        <v>65</v>
      </c>
      <c r="K35" s="4"/>
    </row>
    <row r="36" spans="1:11" hidden="1" x14ac:dyDescent="0.2">
      <c r="A36" s="15">
        <v>31</v>
      </c>
      <c r="B36" s="16" t="s">
        <v>100</v>
      </c>
      <c r="C36" s="16" t="str">
        <f>IF(G27 = "Y", "Y", "N")</f>
        <v>N</v>
      </c>
      <c r="D36" s="3"/>
      <c r="E36" s="17">
        <v>22</v>
      </c>
      <c r="F36" s="17" t="s">
        <v>8</v>
      </c>
      <c r="G36" s="26" t="s">
        <v>206</v>
      </c>
      <c r="H36" s="14">
        <v>1</v>
      </c>
      <c r="I36" s="17" t="s">
        <v>51</v>
      </c>
      <c r="J36" s="17" t="s">
        <v>52</v>
      </c>
      <c r="K36" s="4"/>
    </row>
    <row r="37" spans="1:11" hidden="1" x14ac:dyDescent="0.2">
      <c r="A37" s="15">
        <v>32</v>
      </c>
      <c r="B37" s="16" t="s">
        <v>101</v>
      </c>
      <c r="C37" s="16" t="str">
        <f>IF(G29 = "Y", "Y", "N")</f>
        <v>N</v>
      </c>
      <c r="D37" s="3"/>
      <c r="E37" s="17">
        <v>24</v>
      </c>
      <c r="F37" s="17" t="s">
        <v>8</v>
      </c>
      <c r="G37" s="26" t="s">
        <v>206</v>
      </c>
      <c r="H37" s="14">
        <v>1</v>
      </c>
      <c r="I37" s="17" t="s">
        <v>172</v>
      </c>
      <c r="J37" s="17" t="s">
        <v>8</v>
      </c>
      <c r="K37" s="4"/>
    </row>
    <row r="38" spans="1:11" hidden="1" x14ac:dyDescent="0.2">
      <c r="A38" s="15">
        <v>33</v>
      </c>
      <c r="B38" s="16" t="s">
        <v>102</v>
      </c>
      <c r="C38" s="16" t="str">
        <f>IF(OR(G30 = "Y", G37 = "Y"), "Y", "N")</f>
        <v>N</v>
      </c>
      <c r="D38" s="3"/>
      <c r="E38" s="17" t="s">
        <v>182</v>
      </c>
      <c r="F38" s="17"/>
      <c r="G38" s="26" t="s">
        <v>206</v>
      </c>
      <c r="H38" s="14">
        <v>1</v>
      </c>
      <c r="I38" s="17" t="s">
        <v>8</v>
      </c>
      <c r="J38" s="17" t="s">
        <v>173</v>
      </c>
      <c r="K38" s="4"/>
    </row>
    <row r="39" spans="1:11" hidden="1" x14ac:dyDescent="0.2">
      <c r="A39" s="15">
        <v>34</v>
      </c>
      <c r="B39" s="16" t="s">
        <v>103</v>
      </c>
      <c r="C39" s="16" t="str">
        <f>IF(G30 = "Y", "Y", "N")</f>
        <v>N</v>
      </c>
      <c r="D39" s="16" t="str">
        <f>IF(AND(G30 = "Y", G38 = "Y"), "N", "")</f>
        <v/>
      </c>
      <c r="E39" s="17">
        <v>25</v>
      </c>
      <c r="F39" s="17"/>
      <c r="G39" s="26" t="s">
        <v>206</v>
      </c>
      <c r="H39" s="14">
        <v>1</v>
      </c>
      <c r="I39" s="17" t="s">
        <v>8</v>
      </c>
      <c r="J39" s="17" t="s">
        <v>174</v>
      </c>
      <c r="K39" s="4"/>
    </row>
    <row r="40" spans="1:11" hidden="1" x14ac:dyDescent="0.2">
      <c r="A40" s="15">
        <v>35</v>
      </c>
      <c r="B40" s="16" t="s">
        <v>104</v>
      </c>
      <c r="C40" s="16" t="str">
        <f>IF(G27 = "Y", "Y", "N")</f>
        <v>N</v>
      </c>
      <c r="D40" s="16" t="str">
        <f>IF(OR(G26 = "Y", G32 = "Y", G41 = "Y"), "N", "")</f>
        <v/>
      </c>
      <c r="E40" s="17">
        <v>22</v>
      </c>
      <c r="F40" s="17" t="s">
        <v>8</v>
      </c>
      <c r="G40" s="26" t="s">
        <v>206</v>
      </c>
      <c r="H40" s="14">
        <v>1</v>
      </c>
      <c r="I40" s="17">
        <v>45</v>
      </c>
      <c r="J40" s="17" t="s">
        <v>199</v>
      </c>
      <c r="K40" s="4"/>
    </row>
    <row r="41" spans="1:11" hidden="1" x14ac:dyDescent="0.2">
      <c r="A41" s="15">
        <v>36</v>
      </c>
      <c r="B41" s="16" t="s">
        <v>105</v>
      </c>
      <c r="C41" s="16" t="str">
        <f>IF(G27 = "Y", "Y", "N")</f>
        <v>N</v>
      </c>
      <c r="D41" s="16" t="str">
        <f>IF(OR(G26 = "Y", G32 = "Y"), "N", "")</f>
        <v/>
      </c>
      <c r="E41" s="17">
        <v>22</v>
      </c>
      <c r="F41" s="17" t="s">
        <v>8</v>
      </c>
      <c r="G41" s="26" t="s">
        <v>206</v>
      </c>
      <c r="H41" s="14">
        <v>1</v>
      </c>
      <c r="I41" s="17" t="s">
        <v>8</v>
      </c>
      <c r="J41" s="17" t="s">
        <v>29</v>
      </c>
      <c r="K41" s="4"/>
    </row>
    <row r="42" spans="1:11" hidden="1" x14ac:dyDescent="0.2">
      <c r="A42" s="15">
        <v>37</v>
      </c>
      <c r="B42" s="16" t="s">
        <v>106</v>
      </c>
      <c r="C42" s="16" t="str">
        <f>IF(G36 = "Y", "Y", "N")</f>
        <v>N</v>
      </c>
      <c r="D42" s="3"/>
      <c r="E42" s="17">
        <v>31</v>
      </c>
      <c r="F42" s="17" t="s">
        <v>8</v>
      </c>
      <c r="G42" s="26" t="s">
        <v>206</v>
      </c>
      <c r="H42" s="14">
        <v>1</v>
      </c>
      <c r="I42" s="17">
        <v>47</v>
      </c>
      <c r="J42" s="17" t="s">
        <v>61</v>
      </c>
      <c r="K42" s="4"/>
    </row>
    <row r="43" spans="1:11" hidden="1" x14ac:dyDescent="0.2">
      <c r="A43" s="15">
        <v>38</v>
      </c>
      <c r="B43" s="16" t="s">
        <v>107</v>
      </c>
      <c r="C43" s="16" t="str">
        <f>IF(G36 = "Y", "Y", "N")</f>
        <v>N</v>
      </c>
      <c r="D43" s="3"/>
      <c r="E43" s="17">
        <v>31</v>
      </c>
      <c r="F43" s="17" t="s">
        <v>8</v>
      </c>
      <c r="G43" s="26" t="s">
        <v>206</v>
      </c>
      <c r="H43" s="14">
        <v>1</v>
      </c>
      <c r="I43" s="17" t="s">
        <v>66</v>
      </c>
      <c r="J43" s="17" t="s">
        <v>67</v>
      </c>
      <c r="K43" s="4"/>
    </row>
    <row r="44" spans="1:11" hidden="1" x14ac:dyDescent="0.2">
      <c r="A44" s="15">
        <v>39</v>
      </c>
      <c r="B44" s="16" t="s">
        <v>108</v>
      </c>
      <c r="C44" s="16" t="str">
        <f>IF(G36 = "Y", "Y", "N")</f>
        <v>N</v>
      </c>
      <c r="D44" s="3"/>
      <c r="E44" s="17">
        <v>31</v>
      </c>
      <c r="F44" s="17" t="s">
        <v>8</v>
      </c>
      <c r="G44" s="26" t="s">
        <v>206</v>
      </c>
      <c r="H44" s="14">
        <v>1</v>
      </c>
      <c r="I44" s="17" t="s">
        <v>55</v>
      </c>
      <c r="J44" s="17" t="s">
        <v>56</v>
      </c>
      <c r="K44" s="4"/>
    </row>
    <row r="45" spans="1:11" hidden="1" x14ac:dyDescent="0.2">
      <c r="A45" s="15">
        <v>40</v>
      </c>
      <c r="B45" s="16" t="s">
        <v>109</v>
      </c>
      <c r="C45" s="16" t="str">
        <f>IF(G37 = "Y", "Y", "N")</f>
        <v>N</v>
      </c>
      <c r="D45" s="3"/>
      <c r="E45" s="17">
        <v>32</v>
      </c>
      <c r="F45" s="17"/>
      <c r="G45" s="26" t="s">
        <v>206</v>
      </c>
      <c r="H45" s="14">
        <v>1</v>
      </c>
      <c r="I45" s="17">
        <v>41</v>
      </c>
      <c r="J45" s="17" t="s">
        <v>166</v>
      </c>
      <c r="K45" s="4"/>
    </row>
    <row r="46" spans="1:11" hidden="1" x14ac:dyDescent="0.2">
      <c r="A46" s="15">
        <v>41</v>
      </c>
      <c r="B46" s="16" t="s">
        <v>110</v>
      </c>
      <c r="C46" s="16" t="str">
        <f>IF(G45 = "Y", "Y", "N")</f>
        <v>N</v>
      </c>
      <c r="D46" s="3"/>
      <c r="E46" s="17">
        <v>40</v>
      </c>
      <c r="F46" s="17"/>
      <c r="G46" s="26" t="s">
        <v>206</v>
      </c>
      <c r="H46" s="14">
        <v>1</v>
      </c>
      <c r="I46" s="17" t="s">
        <v>8</v>
      </c>
      <c r="J46" s="17" t="s">
        <v>175</v>
      </c>
      <c r="K46" s="4"/>
    </row>
    <row r="47" spans="1:11" hidden="1" x14ac:dyDescent="0.2">
      <c r="A47" s="15">
        <v>42</v>
      </c>
      <c r="B47" s="16" t="s">
        <v>111</v>
      </c>
      <c r="C47" s="16" t="str">
        <f>IF(G35 = "Y", "Y", "N")</f>
        <v>N</v>
      </c>
      <c r="D47" s="16" t="str">
        <f>IF(G46 = "Y", "N", "")</f>
        <v/>
      </c>
      <c r="E47" s="17">
        <v>30</v>
      </c>
      <c r="F47" s="17" t="s">
        <v>8</v>
      </c>
      <c r="G47" s="26" t="s">
        <v>206</v>
      </c>
      <c r="H47" s="14">
        <v>1</v>
      </c>
      <c r="I47" s="17" t="s">
        <v>8</v>
      </c>
      <c r="J47" s="17" t="s">
        <v>176</v>
      </c>
      <c r="K47" s="4"/>
    </row>
    <row r="48" spans="1:11" hidden="1" x14ac:dyDescent="0.2">
      <c r="A48" s="15">
        <v>43</v>
      </c>
      <c r="B48" s="16" t="s">
        <v>112</v>
      </c>
      <c r="C48" s="16" t="str">
        <f>IF(OR(G23 = "Y", G36 = "Y"), "Y", "N")</f>
        <v>N</v>
      </c>
      <c r="D48" s="3"/>
      <c r="E48" s="17" t="s">
        <v>53</v>
      </c>
      <c r="F48" s="17" t="s">
        <v>8</v>
      </c>
      <c r="G48" s="26" t="s">
        <v>206</v>
      </c>
      <c r="H48" s="14">
        <v>1</v>
      </c>
      <c r="I48" s="17" t="s">
        <v>8</v>
      </c>
      <c r="J48" s="17" t="s">
        <v>41</v>
      </c>
      <c r="K48" s="4"/>
    </row>
    <row r="49" spans="1:11" hidden="1" x14ac:dyDescent="0.2">
      <c r="A49" s="15">
        <v>44</v>
      </c>
      <c r="B49" s="16" t="s">
        <v>113</v>
      </c>
      <c r="C49" s="16" t="str">
        <f>IF(G43 = "Y", "Y", "N")</f>
        <v>N</v>
      </c>
      <c r="D49" s="3"/>
      <c r="E49" s="17">
        <v>38</v>
      </c>
      <c r="F49" s="17" t="s">
        <v>8</v>
      </c>
      <c r="G49" s="26" t="s">
        <v>206</v>
      </c>
      <c r="H49" s="14">
        <v>1</v>
      </c>
      <c r="I49" s="17" t="s">
        <v>8</v>
      </c>
      <c r="J49" s="17" t="s">
        <v>8</v>
      </c>
      <c r="K49" s="4"/>
    </row>
    <row r="50" spans="1:11" hidden="1" x14ac:dyDescent="0.2">
      <c r="A50" s="15">
        <v>45</v>
      </c>
      <c r="B50" s="16" t="s">
        <v>114</v>
      </c>
      <c r="C50" s="16" t="str">
        <f>IF(G40 = "Y", "Y", "N")</f>
        <v>N</v>
      </c>
      <c r="D50" s="3"/>
      <c r="E50" s="17">
        <v>35</v>
      </c>
      <c r="F50" s="17"/>
      <c r="G50" s="26" t="s">
        <v>206</v>
      </c>
      <c r="H50" s="14">
        <v>1</v>
      </c>
      <c r="I50" s="17" t="s">
        <v>177</v>
      </c>
      <c r="J50" s="17" t="s">
        <v>8</v>
      </c>
      <c r="K50" s="4"/>
    </row>
    <row r="51" spans="1:11" hidden="1" x14ac:dyDescent="0.2">
      <c r="A51" s="15">
        <v>46</v>
      </c>
      <c r="B51" s="16" t="s">
        <v>115</v>
      </c>
      <c r="C51" s="16" t="str">
        <f>IF(G44 = "Y", "Y", "N")</f>
        <v>N</v>
      </c>
      <c r="D51" s="3"/>
      <c r="E51" s="17">
        <v>39</v>
      </c>
      <c r="F51" s="17" t="s">
        <v>8</v>
      </c>
      <c r="G51" s="26" t="s">
        <v>206</v>
      </c>
      <c r="H51" s="14">
        <v>1</v>
      </c>
      <c r="I51" s="17">
        <v>51</v>
      </c>
      <c r="J51" s="17" t="s">
        <v>57</v>
      </c>
      <c r="K51" s="4"/>
    </row>
    <row r="52" spans="1:11" hidden="1" x14ac:dyDescent="0.2">
      <c r="A52" s="15">
        <v>47</v>
      </c>
      <c r="B52" s="16" t="s">
        <v>116</v>
      </c>
      <c r="C52" s="16" t="str">
        <f>IF(G42 = "Y", "Y", "N")</f>
        <v>N</v>
      </c>
      <c r="D52" s="3"/>
      <c r="E52" s="17">
        <v>37</v>
      </c>
      <c r="F52" s="17" t="s">
        <v>8</v>
      </c>
      <c r="G52" s="26" t="s">
        <v>206</v>
      </c>
      <c r="H52" s="14">
        <v>1</v>
      </c>
      <c r="I52" s="17">
        <v>51</v>
      </c>
      <c r="J52" s="17" t="s">
        <v>57</v>
      </c>
      <c r="K52" s="4"/>
    </row>
    <row r="53" spans="1:11" hidden="1" x14ac:dyDescent="0.2">
      <c r="A53" s="15">
        <v>48</v>
      </c>
      <c r="B53" s="16" t="s">
        <v>117</v>
      </c>
      <c r="C53" s="16" t="str">
        <f>IF(G43 = "Y", "Y", "N")</f>
        <v>N</v>
      </c>
      <c r="D53" s="3"/>
      <c r="E53" s="17">
        <v>38</v>
      </c>
      <c r="F53" s="17" t="s">
        <v>8</v>
      </c>
      <c r="G53" s="26" t="s">
        <v>206</v>
      </c>
      <c r="H53" s="14">
        <v>1</v>
      </c>
      <c r="I53" s="17">
        <v>51</v>
      </c>
      <c r="J53" s="17" t="s">
        <v>57</v>
      </c>
      <c r="K53" s="4"/>
    </row>
    <row r="54" spans="1:11" hidden="1" x14ac:dyDescent="0.2">
      <c r="A54" s="15">
        <v>49</v>
      </c>
      <c r="B54" s="16" t="s">
        <v>118</v>
      </c>
      <c r="C54" s="16" t="str">
        <f>IF(G50 = "Y", "Y", "N")</f>
        <v>N</v>
      </c>
      <c r="D54" s="3"/>
      <c r="E54" s="17">
        <v>45</v>
      </c>
      <c r="F54" s="17"/>
      <c r="G54" s="26" t="s">
        <v>206</v>
      </c>
      <c r="H54" s="14">
        <v>1</v>
      </c>
      <c r="I54" s="17" t="s">
        <v>8</v>
      </c>
      <c r="J54" s="17" t="s">
        <v>178</v>
      </c>
      <c r="K54" s="4"/>
    </row>
    <row r="55" spans="1:11" hidden="1" x14ac:dyDescent="0.2">
      <c r="A55" s="15">
        <v>50</v>
      </c>
      <c r="B55" s="16" t="s">
        <v>119</v>
      </c>
      <c r="C55" s="16" t="str">
        <f>IF(G50 = "Y", "Y", "N")</f>
        <v>N</v>
      </c>
      <c r="D55" s="16" t="str">
        <f>IF(G54 = "Y", "N", "")</f>
        <v/>
      </c>
      <c r="E55" s="17">
        <v>45</v>
      </c>
      <c r="F55" s="17"/>
      <c r="G55" s="26" t="s">
        <v>206</v>
      </c>
      <c r="H55" s="14">
        <v>1</v>
      </c>
      <c r="I55" s="17" t="s">
        <v>8</v>
      </c>
      <c r="J55" s="17" t="s">
        <v>12</v>
      </c>
      <c r="K55" s="4"/>
    </row>
    <row r="56" spans="1:11" hidden="1" x14ac:dyDescent="0.2">
      <c r="A56" s="15">
        <v>51</v>
      </c>
      <c r="B56" s="16" t="s">
        <v>120</v>
      </c>
      <c r="C56" s="16" t="str">
        <f>IF(OR(G51 = "Y", G52 = "Y", G53 = "Y"), "Y", "N")</f>
        <v>N</v>
      </c>
      <c r="D56" s="3"/>
      <c r="E56" s="17" t="s">
        <v>181</v>
      </c>
      <c r="F56" s="17"/>
      <c r="G56" s="26" t="s">
        <v>206</v>
      </c>
      <c r="H56" s="14">
        <v>1</v>
      </c>
      <c r="I56" s="17" t="s">
        <v>8</v>
      </c>
      <c r="J56" s="17" t="s">
        <v>69</v>
      </c>
      <c r="K56" s="4"/>
    </row>
    <row r="57" spans="1:11" hidden="1" x14ac:dyDescent="0.2">
      <c r="A57" s="15">
        <v>52</v>
      </c>
      <c r="B57" s="16" t="s">
        <v>121</v>
      </c>
      <c r="C57" s="3" t="s">
        <v>206</v>
      </c>
      <c r="D57" s="3"/>
      <c r="E57" s="19" t="s">
        <v>31</v>
      </c>
      <c r="F57" s="17"/>
      <c r="G57" s="26" t="s">
        <v>206</v>
      </c>
      <c r="H57" s="14">
        <v>1</v>
      </c>
      <c r="I57" s="17">
        <v>53</v>
      </c>
      <c r="J57" s="17" t="s">
        <v>8</v>
      </c>
      <c r="K57" s="4"/>
    </row>
    <row r="58" spans="1:11" hidden="1" x14ac:dyDescent="0.2">
      <c r="A58" s="15">
        <v>53</v>
      </c>
      <c r="B58" s="16" t="s">
        <v>122</v>
      </c>
      <c r="C58" s="16" t="str">
        <f>IF(G57 = "Y", "Y", "N")</f>
        <v>N</v>
      </c>
      <c r="D58" s="3"/>
      <c r="E58" s="17">
        <v>52</v>
      </c>
      <c r="F58" s="17" t="s">
        <v>8</v>
      </c>
      <c r="G58" s="26" t="s">
        <v>206</v>
      </c>
      <c r="H58" s="14">
        <v>1</v>
      </c>
      <c r="I58" s="17">
        <v>54</v>
      </c>
      <c r="J58" s="17" t="s">
        <v>8</v>
      </c>
      <c r="K58" s="4"/>
    </row>
    <row r="59" spans="1:11" hidden="1" x14ac:dyDescent="0.2">
      <c r="A59" s="15">
        <v>54</v>
      </c>
      <c r="B59" s="16" t="s">
        <v>123</v>
      </c>
      <c r="C59" s="16" t="str">
        <f>IF(G58 = "Y", "Y", "N")</f>
        <v>N</v>
      </c>
      <c r="D59" s="3"/>
      <c r="E59" s="17">
        <v>53</v>
      </c>
      <c r="F59" s="17" t="s">
        <v>8</v>
      </c>
      <c r="G59" s="26" t="s">
        <v>206</v>
      </c>
      <c r="H59" s="14">
        <v>1</v>
      </c>
      <c r="I59" s="19" t="s">
        <v>32</v>
      </c>
      <c r="J59" s="17"/>
      <c r="K59" s="4"/>
    </row>
    <row r="60" spans="1:11" hidden="1" x14ac:dyDescent="0.2">
      <c r="A60" s="15">
        <v>55</v>
      </c>
      <c r="B60" s="16" t="s">
        <v>124</v>
      </c>
      <c r="C60" s="3" t="s">
        <v>206</v>
      </c>
      <c r="D60" s="3"/>
      <c r="E60" s="19" t="s">
        <v>196</v>
      </c>
      <c r="F60" s="17"/>
      <c r="G60" s="26" t="s">
        <v>206</v>
      </c>
      <c r="H60" s="14">
        <v>1</v>
      </c>
      <c r="I60" s="17">
        <v>56</v>
      </c>
      <c r="J60" s="17" t="s">
        <v>8</v>
      </c>
      <c r="K60" s="4"/>
    </row>
    <row r="61" spans="1:11" hidden="1" x14ac:dyDescent="0.2">
      <c r="A61" s="15">
        <v>56</v>
      </c>
      <c r="B61" s="16" t="s">
        <v>125</v>
      </c>
      <c r="C61" s="16" t="str">
        <f>IF(G60 = "Y", "Y", "N")</f>
        <v>N</v>
      </c>
      <c r="D61" s="3"/>
      <c r="E61" s="17">
        <v>55</v>
      </c>
      <c r="F61" s="17"/>
      <c r="G61" s="26" t="s">
        <v>206</v>
      </c>
      <c r="H61" s="14">
        <v>1</v>
      </c>
      <c r="I61" s="17" t="s">
        <v>8</v>
      </c>
      <c r="J61" s="17" t="s">
        <v>8</v>
      </c>
      <c r="K61" s="4"/>
    </row>
    <row r="62" spans="1:11" hidden="1" x14ac:dyDescent="0.2">
      <c r="A62" s="15">
        <v>57</v>
      </c>
      <c r="B62" s="16" t="s">
        <v>126</v>
      </c>
      <c r="C62" s="3" t="s">
        <v>206</v>
      </c>
      <c r="D62" s="3"/>
      <c r="E62" s="19" t="s">
        <v>63</v>
      </c>
      <c r="F62" s="17"/>
      <c r="G62" s="26" t="s">
        <v>206</v>
      </c>
      <c r="H62" s="14">
        <v>1</v>
      </c>
      <c r="I62" s="17">
        <v>58</v>
      </c>
      <c r="J62" s="17" t="s">
        <v>8</v>
      </c>
      <c r="K62" s="4"/>
    </row>
    <row r="63" spans="1:11" hidden="1" x14ac:dyDescent="0.2">
      <c r="A63" s="15">
        <v>58</v>
      </c>
      <c r="B63" s="16" t="s">
        <v>127</v>
      </c>
      <c r="C63" s="16" t="str">
        <f>IF(G62 = "Y", "Y", "N")</f>
        <v>N</v>
      </c>
      <c r="D63" s="3"/>
      <c r="E63" s="17">
        <v>57</v>
      </c>
      <c r="F63" s="17" t="s">
        <v>8</v>
      </c>
      <c r="G63" s="26" t="s">
        <v>206</v>
      </c>
      <c r="H63" s="14">
        <v>1</v>
      </c>
      <c r="I63" s="19" t="s">
        <v>64</v>
      </c>
      <c r="J63" s="17"/>
      <c r="K63" s="4"/>
    </row>
    <row r="64" spans="1:11" hidden="1" x14ac:dyDescent="0.2">
      <c r="A64" s="15">
        <v>59</v>
      </c>
      <c r="B64" s="16" t="s">
        <v>128</v>
      </c>
      <c r="C64" s="3" t="s">
        <v>206</v>
      </c>
      <c r="D64" s="3"/>
      <c r="E64" s="19" t="s">
        <v>200</v>
      </c>
      <c r="F64" s="17"/>
      <c r="G64" s="26" t="s">
        <v>206</v>
      </c>
      <c r="H64" s="14">
        <v>1</v>
      </c>
      <c r="I64" s="17">
        <v>60</v>
      </c>
      <c r="J64" s="17" t="s">
        <v>8</v>
      </c>
      <c r="K64" s="4"/>
    </row>
    <row r="65" spans="1:11" hidden="1" x14ac:dyDescent="0.2">
      <c r="A65" s="15">
        <v>60</v>
      </c>
      <c r="B65" s="16" t="s">
        <v>129</v>
      </c>
      <c r="C65" s="16" t="str">
        <f>IF(G64 = "Y", "Y", "N")</f>
        <v>N</v>
      </c>
      <c r="D65" s="3"/>
      <c r="E65" s="17">
        <v>59</v>
      </c>
      <c r="F65" s="17"/>
      <c r="G65" s="26" t="s">
        <v>206</v>
      </c>
      <c r="H65" s="14">
        <v>1</v>
      </c>
      <c r="I65" s="17" t="s">
        <v>8</v>
      </c>
      <c r="J65" s="17" t="s">
        <v>8</v>
      </c>
      <c r="K65" s="4"/>
    </row>
    <row r="66" spans="1:11" hidden="1" x14ac:dyDescent="0.2">
      <c r="A66" s="15">
        <v>61</v>
      </c>
      <c r="B66" s="16" t="s">
        <v>130</v>
      </c>
      <c r="C66" s="3" t="s">
        <v>206</v>
      </c>
      <c r="D66" s="3"/>
      <c r="E66" s="19" t="s">
        <v>33</v>
      </c>
      <c r="F66" s="17"/>
      <c r="G66" s="26" t="s">
        <v>206</v>
      </c>
      <c r="H66" s="14">
        <v>1</v>
      </c>
      <c r="I66" s="17">
        <v>62</v>
      </c>
      <c r="J66" s="17" t="s">
        <v>8</v>
      </c>
      <c r="K66" s="4"/>
    </row>
    <row r="67" spans="1:11" hidden="1" x14ac:dyDescent="0.2">
      <c r="A67" s="15">
        <v>62</v>
      </c>
      <c r="B67" s="16" t="s">
        <v>131</v>
      </c>
      <c r="C67" s="16" t="str">
        <f>IF(G66 = "Y", "Y", "N")</f>
        <v>N</v>
      </c>
      <c r="D67" s="3"/>
      <c r="E67" s="17">
        <v>61</v>
      </c>
      <c r="F67" s="17" t="s">
        <v>8</v>
      </c>
      <c r="G67" s="26" t="s">
        <v>206</v>
      </c>
      <c r="H67" s="14">
        <v>1</v>
      </c>
      <c r="I67" s="19" t="s">
        <v>34</v>
      </c>
      <c r="J67" s="17"/>
      <c r="K67" s="4"/>
    </row>
    <row r="68" spans="1:11" hidden="1" x14ac:dyDescent="0.2">
      <c r="A68" s="15">
        <v>63</v>
      </c>
      <c r="B68" s="16" t="s">
        <v>132</v>
      </c>
      <c r="C68" s="3" t="s">
        <v>206</v>
      </c>
      <c r="D68" s="3"/>
      <c r="E68" s="19" t="s">
        <v>42</v>
      </c>
      <c r="F68" s="17"/>
      <c r="G68" s="26" t="s">
        <v>206</v>
      </c>
      <c r="H68" s="14">
        <v>1</v>
      </c>
      <c r="I68" s="17" t="s">
        <v>8</v>
      </c>
      <c r="J68" s="17" t="s">
        <v>8</v>
      </c>
      <c r="K68" s="4"/>
    </row>
    <row r="69" spans="1:11" x14ac:dyDescent="0.2">
      <c r="A69" s="15">
        <v>64</v>
      </c>
      <c r="B69" s="16" t="s">
        <v>133</v>
      </c>
      <c r="C69" s="3" t="s">
        <v>13</v>
      </c>
      <c r="D69" s="3"/>
      <c r="E69" s="19" t="s">
        <v>42</v>
      </c>
      <c r="F69" s="17"/>
      <c r="G69" s="26" t="s">
        <v>206</v>
      </c>
      <c r="H69" s="14">
        <v>1</v>
      </c>
      <c r="I69" s="17" t="s">
        <v>8</v>
      </c>
      <c r="J69" s="17" t="s">
        <v>8</v>
      </c>
      <c r="K69" s="4"/>
    </row>
    <row r="70" spans="1:11" hidden="1" x14ac:dyDescent="0.2">
      <c r="A70" s="15">
        <v>65</v>
      </c>
      <c r="B70" s="16" t="s">
        <v>134</v>
      </c>
      <c r="C70" s="3" t="s">
        <v>206</v>
      </c>
      <c r="D70" s="3"/>
      <c r="E70" s="19" t="s">
        <v>42</v>
      </c>
      <c r="F70" s="17"/>
      <c r="G70" s="26" t="s">
        <v>206</v>
      </c>
      <c r="H70" s="14">
        <v>1</v>
      </c>
      <c r="I70" s="17" t="s">
        <v>8</v>
      </c>
      <c r="J70" s="17" t="s">
        <v>166</v>
      </c>
      <c r="K70" s="4"/>
    </row>
    <row r="71" spans="1:11" hidden="1" x14ac:dyDescent="0.2">
      <c r="A71" s="15">
        <v>66</v>
      </c>
      <c r="B71" s="16" t="s">
        <v>135</v>
      </c>
      <c r="C71" s="3" t="s">
        <v>206</v>
      </c>
      <c r="D71" s="3"/>
      <c r="E71" s="19" t="s">
        <v>42</v>
      </c>
      <c r="F71" s="17"/>
      <c r="G71" s="26" t="s">
        <v>206</v>
      </c>
      <c r="H71" s="14">
        <v>1</v>
      </c>
      <c r="I71" s="17" t="s">
        <v>8</v>
      </c>
      <c r="J71" s="17" t="s">
        <v>166</v>
      </c>
      <c r="K71" s="4"/>
    </row>
    <row r="72" spans="1:11" hidden="1" x14ac:dyDescent="0.2">
      <c r="A72" s="15">
        <v>67</v>
      </c>
      <c r="B72" s="16" t="s">
        <v>136</v>
      </c>
      <c r="C72" s="3" t="s">
        <v>206</v>
      </c>
      <c r="D72" s="3"/>
      <c r="E72" s="19" t="s">
        <v>42</v>
      </c>
      <c r="F72" s="17"/>
      <c r="G72" s="26" t="s">
        <v>206</v>
      </c>
      <c r="H72" s="14">
        <v>1</v>
      </c>
      <c r="I72" s="17" t="s">
        <v>8</v>
      </c>
      <c r="J72" s="17" t="s">
        <v>166</v>
      </c>
      <c r="K72" s="4"/>
    </row>
    <row r="73" spans="1:11" hidden="1" x14ac:dyDescent="0.2">
      <c r="A73" s="15">
        <v>68</v>
      </c>
      <c r="B73" s="16" t="s">
        <v>137</v>
      </c>
      <c r="C73" s="3" t="s">
        <v>206</v>
      </c>
      <c r="D73" s="3"/>
      <c r="E73" s="19" t="s">
        <v>42</v>
      </c>
      <c r="F73" s="17"/>
      <c r="G73" s="26" t="s">
        <v>206</v>
      </c>
      <c r="H73" s="14">
        <v>1</v>
      </c>
      <c r="I73" s="17" t="s">
        <v>8</v>
      </c>
      <c r="J73" s="17" t="s">
        <v>8</v>
      </c>
      <c r="K73" s="4"/>
    </row>
    <row r="74" spans="1:11" hidden="1" x14ac:dyDescent="0.2">
      <c r="A74" s="15">
        <v>69</v>
      </c>
      <c r="B74" s="16" t="s">
        <v>138</v>
      </c>
      <c r="C74" s="3" t="s">
        <v>206</v>
      </c>
      <c r="D74" s="3"/>
      <c r="E74" s="19" t="s">
        <v>42</v>
      </c>
      <c r="F74" s="17"/>
      <c r="G74" s="26" t="s">
        <v>206</v>
      </c>
      <c r="H74" s="14">
        <v>1</v>
      </c>
      <c r="I74" s="17" t="s">
        <v>8</v>
      </c>
      <c r="J74" s="17" t="s">
        <v>8</v>
      </c>
      <c r="K74" s="4"/>
    </row>
    <row r="75" spans="1:11" hidden="1" x14ac:dyDescent="0.2">
      <c r="A75" s="15">
        <v>70</v>
      </c>
      <c r="B75" s="16" t="s">
        <v>139</v>
      </c>
      <c r="C75" s="3" t="s">
        <v>206</v>
      </c>
      <c r="D75" s="3"/>
      <c r="E75" s="19" t="s">
        <v>42</v>
      </c>
      <c r="F75" s="17"/>
      <c r="G75" s="26" t="s">
        <v>206</v>
      </c>
      <c r="H75" s="14">
        <v>1</v>
      </c>
      <c r="I75" s="17" t="s">
        <v>8</v>
      </c>
      <c r="J75" s="17" t="s">
        <v>8</v>
      </c>
      <c r="K75" s="4"/>
    </row>
    <row r="76" spans="1:11" hidden="1" x14ac:dyDescent="0.2">
      <c r="A76" s="15">
        <v>71</v>
      </c>
      <c r="B76" s="16" t="s">
        <v>140</v>
      </c>
      <c r="C76" s="3" t="s">
        <v>206</v>
      </c>
      <c r="D76" s="3"/>
      <c r="E76" s="19" t="s">
        <v>42</v>
      </c>
      <c r="F76" s="17"/>
      <c r="G76" s="26" t="s">
        <v>206</v>
      </c>
      <c r="H76" s="14">
        <v>1</v>
      </c>
      <c r="I76" s="17" t="s">
        <v>8</v>
      </c>
      <c r="J76" s="17" t="s">
        <v>8</v>
      </c>
      <c r="K76" s="4"/>
    </row>
    <row r="77" spans="1:11" hidden="1" x14ac:dyDescent="0.2">
      <c r="A77" s="15">
        <v>72</v>
      </c>
      <c r="B77" s="16" t="s">
        <v>141</v>
      </c>
      <c r="C77" s="3" t="s">
        <v>206</v>
      </c>
      <c r="D77" s="3"/>
      <c r="E77" s="19" t="s">
        <v>38</v>
      </c>
      <c r="F77" s="17" t="s">
        <v>8</v>
      </c>
      <c r="G77" s="26" t="s">
        <v>206</v>
      </c>
      <c r="H77" s="14">
        <v>1</v>
      </c>
      <c r="I77" s="17" t="s">
        <v>8</v>
      </c>
      <c r="J77" s="17" t="s">
        <v>8</v>
      </c>
      <c r="K77" s="4"/>
    </row>
    <row r="78" spans="1:11" hidden="1" x14ac:dyDescent="0.2">
      <c r="A78" s="15">
        <v>73</v>
      </c>
      <c r="B78" s="16" t="s">
        <v>142</v>
      </c>
      <c r="C78" s="3" t="s">
        <v>206</v>
      </c>
      <c r="D78" s="3"/>
      <c r="E78" s="19" t="s">
        <v>38</v>
      </c>
      <c r="F78" s="17" t="s">
        <v>8</v>
      </c>
      <c r="G78" s="26" t="s">
        <v>206</v>
      </c>
      <c r="H78" s="14">
        <v>1</v>
      </c>
      <c r="I78" s="17" t="s">
        <v>8</v>
      </c>
      <c r="J78" s="17" t="s">
        <v>8</v>
      </c>
      <c r="K78" s="4"/>
    </row>
    <row r="79" spans="1:11" hidden="1" x14ac:dyDescent="0.2">
      <c r="A79" s="15">
        <v>74</v>
      </c>
      <c r="B79" s="16" t="s">
        <v>143</v>
      </c>
      <c r="C79" s="3" t="s">
        <v>206</v>
      </c>
      <c r="D79" s="3"/>
      <c r="E79" s="17" t="s">
        <v>8</v>
      </c>
      <c r="F79" s="17" t="s">
        <v>62</v>
      </c>
      <c r="G79" s="26" t="s">
        <v>206</v>
      </c>
      <c r="H79" s="14">
        <v>1</v>
      </c>
      <c r="I79" s="17" t="s">
        <v>8</v>
      </c>
      <c r="J79" s="17" t="s">
        <v>8</v>
      </c>
      <c r="K79" s="4"/>
    </row>
    <row r="80" spans="1:11" hidden="1" x14ac:dyDescent="0.2">
      <c r="A80" s="15">
        <v>75</v>
      </c>
      <c r="B80" s="16" t="s">
        <v>144</v>
      </c>
      <c r="C80" s="3" t="s">
        <v>206</v>
      </c>
      <c r="D80" s="3"/>
      <c r="E80" s="17" t="s">
        <v>8</v>
      </c>
      <c r="F80" s="17" t="s">
        <v>186</v>
      </c>
      <c r="G80" s="26" t="s">
        <v>206</v>
      </c>
      <c r="H80" s="14">
        <v>1</v>
      </c>
      <c r="I80" s="17" t="s">
        <v>8</v>
      </c>
      <c r="J80" s="17" t="s">
        <v>8</v>
      </c>
      <c r="K80" s="4"/>
    </row>
    <row r="81" spans="1:11" hidden="1" x14ac:dyDescent="0.2">
      <c r="A81" s="15">
        <v>76</v>
      </c>
      <c r="B81" s="16" t="s">
        <v>145</v>
      </c>
      <c r="C81" s="3" t="s">
        <v>206</v>
      </c>
      <c r="D81" s="3"/>
      <c r="E81" s="19" t="s">
        <v>202</v>
      </c>
      <c r="F81" s="17"/>
      <c r="G81" s="26" t="s">
        <v>206</v>
      </c>
      <c r="H81" s="14">
        <v>1</v>
      </c>
      <c r="I81" s="17" t="s">
        <v>8</v>
      </c>
      <c r="J81" s="17" t="s">
        <v>8</v>
      </c>
      <c r="K81" s="4"/>
    </row>
    <row r="82" spans="1:11" hidden="1" x14ac:dyDescent="0.2">
      <c r="A82" s="15">
        <v>77</v>
      </c>
      <c r="B82" s="16" t="s">
        <v>146</v>
      </c>
      <c r="C82" s="3" t="s">
        <v>206</v>
      </c>
      <c r="D82" s="3"/>
      <c r="E82" s="19" t="s">
        <v>38</v>
      </c>
      <c r="F82" s="17" t="s">
        <v>8</v>
      </c>
      <c r="G82" s="26" t="s">
        <v>206</v>
      </c>
      <c r="H82" s="14">
        <v>1</v>
      </c>
      <c r="I82" s="17" t="s">
        <v>8</v>
      </c>
      <c r="J82" s="17" t="s">
        <v>8</v>
      </c>
      <c r="K82" s="4"/>
    </row>
    <row r="83" spans="1:11" hidden="1" x14ac:dyDescent="0.2">
      <c r="A83" s="15">
        <v>78</v>
      </c>
      <c r="B83" s="16" t="s">
        <v>147</v>
      </c>
      <c r="C83" s="3" t="s">
        <v>206</v>
      </c>
      <c r="D83" s="3"/>
      <c r="E83" s="17" t="s">
        <v>8</v>
      </c>
      <c r="F83" s="17" t="s">
        <v>54</v>
      </c>
      <c r="G83" s="26" t="s">
        <v>206</v>
      </c>
      <c r="H83" s="14">
        <v>1</v>
      </c>
      <c r="I83" s="17" t="s">
        <v>8</v>
      </c>
      <c r="J83" s="17" t="s">
        <v>8</v>
      </c>
      <c r="K83" s="4"/>
    </row>
    <row r="84" spans="1:11" hidden="1" x14ac:dyDescent="0.2">
      <c r="A84" s="15">
        <v>79</v>
      </c>
      <c r="B84" s="16" t="s">
        <v>148</v>
      </c>
      <c r="C84" s="3" t="s">
        <v>206</v>
      </c>
      <c r="D84" s="3"/>
      <c r="E84" s="17" t="s">
        <v>8</v>
      </c>
      <c r="F84" s="17" t="s">
        <v>68</v>
      </c>
      <c r="G84" s="26" t="s">
        <v>206</v>
      </c>
      <c r="H84" s="14">
        <v>1</v>
      </c>
      <c r="I84" s="17" t="s">
        <v>8</v>
      </c>
      <c r="J84" s="17" t="s">
        <v>8</v>
      </c>
      <c r="K84" s="4"/>
    </row>
    <row r="85" spans="1:11" hidden="1" x14ac:dyDescent="0.2">
      <c r="A85" s="15">
        <v>80</v>
      </c>
      <c r="B85" s="16" t="s">
        <v>149</v>
      </c>
      <c r="C85" s="3" t="s">
        <v>206</v>
      </c>
      <c r="D85" s="3"/>
      <c r="E85" s="17" t="s">
        <v>8</v>
      </c>
      <c r="F85" s="17" t="s">
        <v>195</v>
      </c>
      <c r="G85" s="26" t="s">
        <v>206</v>
      </c>
      <c r="H85" s="14">
        <v>1</v>
      </c>
      <c r="I85" s="17" t="s">
        <v>8</v>
      </c>
      <c r="J85" s="17" t="s">
        <v>8</v>
      </c>
      <c r="K85" s="4"/>
    </row>
    <row r="86" spans="1:11" hidden="1" x14ac:dyDescent="0.2">
      <c r="A86" s="15">
        <v>81</v>
      </c>
      <c r="B86" s="16" t="s">
        <v>150</v>
      </c>
      <c r="C86" s="3" t="s">
        <v>206</v>
      </c>
      <c r="D86" s="3"/>
      <c r="E86" s="17" t="s">
        <v>8</v>
      </c>
      <c r="F86" s="17" t="s">
        <v>5</v>
      </c>
      <c r="G86" s="26" t="s">
        <v>206</v>
      </c>
      <c r="H86" s="14">
        <v>1</v>
      </c>
      <c r="I86" s="17" t="s">
        <v>8</v>
      </c>
      <c r="J86" s="17" t="s">
        <v>8</v>
      </c>
      <c r="K86" s="4"/>
    </row>
    <row r="87" spans="1:11" hidden="1" x14ac:dyDescent="0.2">
      <c r="A87" s="15">
        <v>82</v>
      </c>
      <c r="B87" s="16" t="s">
        <v>151</v>
      </c>
      <c r="C87" s="3" t="s">
        <v>206</v>
      </c>
      <c r="D87" s="3"/>
      <c r="E87" s="17" t="s">
        <v>8</v>
      </c>
      <c r="F87" s="17" t="s">
        <v>3</v>
      </c>
      <c r="G87" s="26" t="s">
        <v>206</v>
      </c>
      <c r="H87" s="14">
        <v>1</v>
      </c>
      <c r="I87" s="17" t="s">
        <v>8</v>
      </c>
      <c r="J87" s="17" t="s">
        <v>8</v>
      </c>
      <c r="K87" s="4"/>
    </row>
    <row r="88" spans="1:11" hidden="1" x14ac:dyDescent="0.2">
      <c r="A88" s="15">
        <v>83</v>
      </c>
      <c r="B88" s="16" t="s">
        <v>152</v>
      </c>
      <c r="C88" s="3" t="s">
        <v>206</v>
      </c>
      <c r="D88" s="3"/>
      <c r="E88" s="17" t="s">
        <v>8</v>
      </c>
      <c r="F88" s="17" t="s">
        <v>60</v>
      </c>
      <c r="G88" s="26" t="s">
        <v>206</v>
      </c>
      <c r="H88" s="14">
        <v>1</v>
      </c>
      <c r="I88" s="17" t="s">
        <v>8</v>
      </c>
      <c r="J88" s="17" t="s">
        <v>8</v>
      </c>
      <c r="K88" s="4"/>
    </row>
    <row r="89" spans="1:11" hidden="1" x14ac:dyDescent="0.2">
      <c r="A89" s="15">
        <v>84</v>
      </c>
      <c r="B89" s="16" t="s">
        <v>153</v>
      </c>
      <c r="C89" s="3" t="s">
        <v>206</v>
      </c>
      <c r="D89" s="3"/>
      <c r="E89" s="17" t="s">
        <v>8</v>
      </c>
      <c r="F89" s="17" t="s">
        <v>187</v>
      </c>
      <c r="G89" s="26" t="s">
        <v>206</v>
      </c>
      <c r="H89" s="14">
        <v>1</v>
      </c>
      <c r="I89" s="17" t="s">
        <v>8</v>
      </c>
      <c r="J89" s="17" t="s">
        <v>8</v>
      </c>
      <c r="K89" s="4"/>
    </row>
    <row r="90" spans="1:11" hidden="1" x14ac:dyDescent="0.2">
      <c r="A90" s="15">
        <v>85</v>
      </c>
      <c r="B90" s="16" t="s">
        <v>154</v>
      </c>
      <c r="C90" s="3" t="s">
        <v>206</v>
      </c>
      <c r="D90" s="3"/>
      <c r="E90" s="17" t="s">
        <v>8</v>
      </c>
      <c r="F90" s="17" t="s">
        <v>194</v>
      </c>
      <c r="G90" s="26" t="s">
        <v>206</v>
      </c>
      <c r="H90" s="14">
        <v>1</v>
      </c>
      <c r="I90" s="17" t="s">
        <v>8</v>
      </c>
      <c r="J90" s="17" t="s">
        <v>8</v>
      </c>
      <c r="K90" s="4"/>
    </row>
    <row r="91" spans="1:11" hidden="1" x14ac:dyDescent="0.2">
      <c r="A91" s="15">
        <v>86</v>
      </c>
      <c r="B91" s="16" t="s">
        <v>155</v>
      </c>
      <c r="C91" s="3" t="s">
        <v>206</v>
      </c>
      <c r="D91" s="3"/>
      <c r="E91" s="17" t="s">
        <v>8</v>
      </c>
      <c r="F91" s="17" t="s">
        <v>191</v>
      </c>
      <c r="G91" s="26" t="s">
        <v>206</v>
      </c>
      <c r="H91" s="14">
        <v>1</v>
      </c>
      <c r="I91" s="17">
        <v>87</v>
      </c>
      <c r="J91" s="17" t="s">
        <v>179</v>
      </c>
      <c r="K91" s="4"/>
    </row>
    <row r="92" spans="1:11" hidden="1" x14ac:dyDescent="0.2">
      <c r="A92" s="15">
        <v>87</v>
      </c>
      <c r="B92" s="16" t="s">
        <v>156</v>
      </c>
      <c r="C92" s="16" t="str">
        <f>IF(G91 = "Y", "Y", "N")</f>
        <v>N</v>
      </c>
      <c r="D92" s="3"/>
      <c r="E92" s="17">
        <v>86</v>
      </c>
      <c r="F92" s="17" t="s">
        <v>193</v>
      </c>
      <c r="G92" s="26" t="s">
        <v>206</v>
      </c>
      <c r="H92" s="14">
        <v>1</v>
      </c>
      <c r="I92" s="17" t="s">
        <v>8</v>
      </c>
      <c r="J92" s="17" t="s">
        <v>8</v>
      </c>
      <c r="K92" s="4"/>
    </row>
    <row r="93" spans="1:11" hidden="1" x14ac:dyDescent="0.2">
      <c r="A93" s="15">
        <v>88</v>
      </c>
      <c r="B93" s="16" t="s">
        <v>157</v>
      </c>
      <c r="C93" s="3" t="s">
        <v>206</v>
      </c>
      <c r="D93" s="3"/>
      <c r="E93" s="17" t="s">
        <v>8</v>
      </c>
      <c r="F93" s="17" t="s">
        <v>188</v>
      </c>
      <c r="G93" s="26" t="s">
        <v>206</v>
      </c>
      <c r="H93" s="14">
        <v>1</v>
      </c>
      <c r="I93" s="17" t="s">
        <v>8</v>
      </c>
      <c r="J93" s="17" t="s">
        <v>8</v>
      </c>
      <c r="K93" s="4"/>
    </row>
    <row r="94" spans="1:11" hidden="1" x14ac:dyDescent="0.2">
      <c r="A94" s="15">
        <v>89</v>
      </c>
      <c r="B94" s="16" t="s">
        <v>158</v>
      </c>
      <c r="C94" s="3" t="s">
        <v>206</v>
      </c>
      <c r="D94" s="3"/>
      <c r="E94" s="17" t="s">
        <v>8</v>
      </c>
      <c r="F94" s="17" t="s">
        <v>190</v>
      </c>
      <c r="G94" s="26" t="s">
        <v>206</v>
      </c>
      <c r="H94" s="14">
        <v>1</v>
      </c>
      <c r="I94" s="17" t="s">
        <v>8</v>
      </c>
      <c r="J94" s="17" t="s">
        <v>8</v>
      </c>
      <c r="K94" s="4"/>
    </row>
    <row r="95" spans="1:11" hidden="1" x14ac:dyDescent="0.2">
      <c r="A95" s="15">
        <v>90</v>
      </c>
      <c r="B95" s="16" t="s">
        <v>159</v>
      </c>
      <c r="C95" s="3" t="s">
        <v>206</v>
      </c>
      <c r="D95" s="3"/>
      <c r="E95" s="17" t="s">
        <v>8</v>
      </c>
      <c r="F95" s="17" t="s">
        <v>2</v>
      </c>
      <c r="G95" s="26" t="s">
        <v>206</v>
      </c>
      <c r="H95" s="14">
        <v>1</v>
      </c>
      <c r="I95" s="17" t="s">
        <v>8</v>
      </c>
      <c r="J95" s="17" t="s">
        <v>8</v>
      </c>
      <c r="K95" s="4"/>
    </row>
    <row r="96" spans="1:11" hidden="1" x14ac:dyDescent="0.2">
      <c r="A96" s="15">
        <v>91</v>
      </c>
      <c r="B96" s="16" t="s">
        <v>160</v>
      </c>
      <c r="C96" s="3" t="s">
        <v>206</v>
      </c>
      <c r="D96" s="3"/>
      <c r="E96" s="17" t="s">
        <v>8</v>
      </c>
      <c r="F96" s="17" t="s">
        <v>192</v>
      </c>
      <c r="G96" s="26" t="s">
        <v>206</v>
      </c>
      <c r="H96" s="14">
        <v>1</v>
      </c>
      <c r="I96" s="17" t="s">
        <v>8</v>
      </c>
      <c r="J96" s="17" t="s">
        <v>8</v>
      </c>
      <c r="K96" s="4"/>
    </row>
    <row r="97" spans="1:11" hidden="1" x14ac:dyDescent="0.2">
      <c r="A97" s="15">
        <v>92</v>
      </c>
      <c r="B97" s="16" t="s">
        <v>161</v>
      </c>
      <c r="C97" s="3" t="s">
        <v>206</v>
      </c>
      <c r="D97" s="3"/>
      <c r="E97" s="17" t="s">
        <v>8</v>
      </c>
      <c r="F97" s="17" t="s">
        <v>189</v>
      </c>
      <c r="G97" s="26" t="s">
        <v>206</v>
      </c>
      <c r="H97" s="14">
        <v>1</v>
      </c>
      <c r="I97" s="17" t="s">
        <v>8</v>
      </c>
      <c r="J97" s="17" t="s">
        <v>8</v>
      </c>
      <c r="K97" s="4"/>
    </row>
    <row r="98" spans="1:11" hidden="1" x14ac:dyDescent="0.2">
      <c r="A98" s="15">
        <v>93</v>
      </c>
      <c r="B98" s="16" t="s">
        <v>162</v>
      </c>
      <c r="C98" s="3" t="s">
        <v>206</v>
      </c>
      <c r="D98" s="3"/>
      <c r="E98" s="17" t="s">
        <v>8</v>
      </c>
      <c r="F98" s="17" t="s">
        <v>4</v>
      </c>
      <c r="G98" s="26" t="s">
        <v>206</v>
      </c>
      <c r="H98" s="14">
        <v>1</v>
      </c>
      <c r="I98" s="17" t="s">
        <v>8</v>
      </c>
      <c r="J98" s="17" t="s">
        <v>8</v>
      </c>
      <c r="K98" s="4"/>
    </row>
    <row r="99" spans="1:11" hidden="1" x14ac:dyDescent="0.2">
      <c r="A99" s="15">
        <v>94</v>
      </c>
      <c r="B99" s="16" t="s">
        <v>163</v>
      </c>
      <c r="C99" s="3" t="s">
        <v>206</v>
      </c>
      <c r="D99" s="3"/>
      <c r="E99" s="17" t="s">
        <v>8</v>
      </c>
      <c r="F99" s="17" t="s">
        <v>185</v>
      </c>
      <c r="G99" s="26" t="s">
        <v>206</v>
      </c>
      <c r="H99" s="14">
        <v>1</v>
      </c>
      <c r="I99" s="17">
        <v>95</v>
      </c>
      <c r="J99" s="17" t="s">
        <v>180</v>
      </c>
      <c r="K99" s="4"/>
    </row>
    <row r="100" spans="1:11" hidden="1" x14ac:dyDescent="0.2">
      <c r="A100" s="15">
        <v>95</v>
      </c>
      <c r="B100" s="16" t="s">
        <v>164</v>
      </c>
      <c r="C100" s="16" t="str">
        <f>IF(G99 = "Y", "Y", "N")</f>
        <v>N</v>
      </c>
      <c r="D100" s="3"/>
      <c r="E100" s="17">
        <v>94</v>
      </c>
      <c r="F100" s="17" t="s">
        <v>8</v>
      </c>
      <c r="G100" s="26" t="s">
        <v>206</v>
      </c>
      <c r="H100" s="14">
        <v>1</v>
      </c>
      <c r="I100" s="17" t="s">
        <v>8</v>
      </c>
      <c r="J100" s="17" t="s">
        <v>8</v>
      </c>
      <c r="K100" s="4"/>
    </row>
    <row r="103" spans="1:11" hidden="1" x14ac:dyDescent="0.2">
      <c r="A103" s="6" t="s">
        <v>13</v>
      </c>
    </row>
    <row r="104" spans="1:11" hidden="1" x14ac:dyDescent="0.2">
      <c r="A104" s="6" t="s">
        <v>206</v>
      </c>
    </row>
    <row r="105" spans="1:11" hidden="1" x14ac:dyDescent="0.2">
      <c r="A105" s="6" t="s">
        <v>214</v>
      </c>
    </row>
  </sheetData>
  <sheetProtection algorithmName="SHA-512" hashValue="kFPtG5seLL9/ONh4SPOsMFQCJAKvllTuNGmn6tsR34zGbtYiOgv0S+d89vHk+43AlOu7zUnhFiaaYVn5wi8+Cw==" saltValue="6uQISWWMOxz5s3u+TiEOeA==" spinCount="100000" sheet="1" objects="1" scenarios="1" selectLockedCells="1" autoFilter="0"/>
  <mergeCells count="1">
    <mergeCell ref="E3:F3"/>
  </mergeCells>
  <conditionalFormatting sqref="C5:D100">
    <cfRule type="containsText" dxfId="57" priority="13" operator="containsText" text="N">
      <formula>NOT(ISERROR(SEARCH("N",C5)))</formula>
    </cfRule>
  </conditionalFormatting>
  <conditionalFormatting sqref="D5:K100">
    <cfRule type="expression" dxfId="56" priority="4">
      <formula>$C5="N"</formula>
    </cfRule>
  </conditionalFormatting>
  <conditionalFormatting sqref="I5:K100">
    <cfRule type="expression" dxfId="55" priority="5">
      <formula>$G5="N"</formula>
    </cfRule>
  </conditionalFormatting>
  <conditionalFormatting sqref="A6:K100">
    <cfRule type="expression" dxfId="54" priority="3">
      <formula>AND($G6="N",$C6 ="")</formula>
    </cfRule>
  </conditionalFormatting>
  <conditionalFormatting sqref="A5:K100">
    <cfRule type="expression" dxfId="53" priority="2">
      <formula>$G5="n/a"</formula>
    </cfRule>
  </conditionalFormatting>
  <conditionalFormatting sqref="B5:B100">
    <cfRule type="expression" dxfId="52" priority="1">
      <formula>$C5="N"</formula>
    </cfRule>
  </conditionalFormatting>
  <dataValidations count="1">
    <dataValidation type="list" errorStyle="information" allowBlank="1" showInputMessage="1" showErrorMessage="1" errorTitle="Input Error" error="Please enter: &quot;Y&quot; (yes), &quot;N&quot; (no), or &quot;n/a&quot; (Not Applicable)" sqref="G5:G100" xr:uid="{D497452C-95AE-408D-9BFA-81166B01AE72}">
      <formula1>$A$103:$A$105</formula1>
    </dataValidation>
  </dataValidations>
  <printOptions horizontalCentered="1"/>
  <pageMargins left="0.7" right="0.7" top="0.75" bottom="0.75" header="0.3" footer="0.3"/>
  <pageSetup scale="61" fitToHeight="0" orientation="landscape" horizontalDpi="0" verticalDpi="0" r:id="rId1"/>
  <headerFooter>
    <oddFooter>&amp;L&amp;F&amp;R&amp;D</oddFooter>
  </headerFooter>
  <ignoredErrors>
    <ignoredError sqref="I10 I13 E19 E23 E21" twoDigitTextYear="1"/>
  </ignoredError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48F98-363F-410F-BDC2-31C75BB9C855}">
  <sheetPr codeName="Sheet2"/>
  <dimension ref="A2:P16"/>
  <sheetViews>
    <sheetView zoomScale="85" zoomScaleNormal="85" workbookViewId="0">
      <selection activeCell="Y24" sqref="Y24"/>
    </sheetView>
  </sheetViews>
  <sheetFormatPr baseColWidth="10" defaultColWidth="8.83203125" defaultRowHeight="15" x14ac:dyDescent="0.2"/>
  <cols>
    <col min="1" max="1" width="12.6640625" bestFit="1" customWidth="1"/>
    <col min="2" max="2" width="8.33203125" bestFit="1" customWidth="1"/>
    <col min="10" max="10" width="3.83203125" customWidth="1"/>
    <col min="11" max="11" width="11.5" customWidth="1"/>
    <col min="12" max="12" width="26.83203125" customWidth="1"/>
    <col min="13" max="13" width="16.1640625" customWidth="1"/>
    <col min="14" max="14" width="19.33203125" customWidth="1"/>
    <col min="15" max="15" width="6.83203125" customWidth="1"/>
  </cols>
  <sheetData>
    <row r="2" spans="1:16" ht="16" x14ac:dyDescent="0.2">
      <c r="A2" s="29" t="s">
        <v>43</v>
      </c>
      <c r="B2" s="30" t="s">
        <v>205</v>
      </c>
      <c r="J2" s="1"/>
    </row>
    <row r="3" spans="1:16" ht="16" x14ac:dyDescent="0.2">
      <c r="A3" s="31" t="s">
        <v>206</v>
      </c>
      <c r="B3" s="32">
        <v>92</v>
      </c>
      <c r="J3" s="1"/>
    </row>
    <row r="4" spans="1:16" ht="16" x14ac:dyDescent="0.2">
      <c r="A4" s="31" t="s">
        <v>13</v>
      </c>
      <c r="B4" s="32">
        <v>3</v>
      </c>
      <c r="J4" s="1"/>
    </row>
    <row r="5" spans="1:16" ht="16" x14ac:dyDescent="0.2">
      <c r="A5" s="31" t="s">
        <v>204</v>
      </c>
      <c r="B5" s="32">
        <v>95</v>
      </c>
      <c r="J5" s="1"/>
    </row>
    <row r="10" spans="1:16" ht="21" x14ac:dyDescent="0.25">
      <c r="K10" s="23" t="s">
        <v>213</v>
      </c>
      <c r="L10" s="23"/>
      <c r="M10" s="23"/>
      <c r="N10" s="23"/>
      <c r="O10" s="2"/>
      <c r="P10" s="1"/>
    </row>
    <row r="11" spans="1:16" ht="21" x14ac:dyDescent="0.25">
      <c r="K11" s="23" t="s">
        <v>215</v>
      </c>
      <c r="L11" s="23"/>
      <c r="M11" s="24"/>
      <c r="N11" s="24"/>
      <c r="O11" s="2"/>
      <c r="P11" s="1"/>
    </row>
    <row r="12" spans="1:16" ht="21" x14ac:dyDescent="0.25">
      <c r="K12" s="25" t="s">
        <v>216</v>
      </c>
      <c r="L12" s="24"/>
      <c r="M12" s="24"/>
      <c r="N12" s="24"/>
      <c r="O12" s="2"/>
      <c r="P12" s="1"/>
    </row>
    <row r="13" spans="1:16" ht="18" customHeight="1" x14ac:dyDescent="0.25">
      <c r="K13" s="23" t="s">
        <v>211</v>
      </c>
      <c r="L13" s="23"/>
      <c r="M13" s="2"/>
      <c r="N13" s="2"/>
      <c r="O13" s="2"/>
      <c r="P13" s="1"/>
    </row>
    <row r="14" spans="1:16" ht="18" customHeight="1" x14ac:dyDescent="0.25">
      <c r="K14" s="23" t="s">
        <v>212</v>
      </c>
      <c r="L14" s="23"/>
      <c r="M14" s="2"/>
      <c r="N14" s="2"/>
      <c r="O14" s="2"/>
      <c r="P14" s="1"/>
    </row>
    <row r="15" spans="1:16" x14ac:dyDescent="0.2">
      <c r="K15" s="22"/>
    </row>
    <row r="16" spans="1:16" x14ac:dyDescent="0.2">
      <c r="K16" s="22"/>
    </row>
  </sheetData>
  <sheetProtection autoFilter="0" pivotTables="0"/>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Scenario_Detail</vt:lpstr>
      <vt:lpstr>Percentage_Chart</vt:lpstr>
      <vt:lpstr>Scenario_Detail!Print_Titles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Gloomhaven_Scenarios</dc:title>
  <dc:creator>Mike Benoit</dc:creator>
  <cp:keywords>Gloomhaven</cp:keywords>
  <cp:lastModifiedBy>Microsoft Office User</cp:lastModifiedBy>
  <cp:lastPrinted>2019-05-02T19:21:00Z</cp:lastPrinted>
  <dcterms:created xsi:type="dcterms:W3CDTF">2019-02-19T01:26:31Z</dcterms:created>
  <dcterms:modified xsi:type="dcterms:W3CDTF">2020-01-30T15:32:29Z</dcterms:modified>
</cp:coreProperties>
</file>